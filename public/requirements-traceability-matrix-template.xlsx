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use" sheetId="1" r:id="rId1"/>
    <sheet name="Business Reqs" sheetId="2" r:id="rId2"/>
    <sheet name="Functional Reqs" sheetId="3" r:id="rId3"/>
    <sheet name="Test Cases" sheetId="4" r:id="rId4"/>
    <sheet name="Lists" sheetId="5" state="hidden" r:id="rId5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sz val="10"/>
      <name val="Arial"/>
    </font>
    <font>
      <b/>
      <sz val="16"/>
      <name val="Arial"/>
    </font>
    <font>
      <sz val="10"/>
      <name val="Arial"/>
    </font>
    <font>
      <b/>
      <sz val="12"/>
      <color rgb="FF1F3A5F"/>
      <name val="Arial"/>
    </font>
    <font>
      <b/>
      <sz val="10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8DC"/>
      </patternFill>
    </fill>
    <fill>
      <patternFill patternType="solid">
        <fgColor rgb="FFEEF2F7"/>
      </patternFill>
    </fill>
  </fills>
  <borders count="2">
    <border/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>
      <alignment vertical="top" wrapText="1"/>
    </xf>
    <xf numFmtId="0" fontId="2" fillId="0" borderId="0" xfId="0" applyFont="1" applyFill="1" applyBorder="1">
      <alignment vertical="top" wrapText="1"/>
    </xf>
    <xf numFmtId="0" fontId="3" fillId="0" borderId="0" xfId="0" applyFont="1" applyFill="1" applyBorder="1">
      <alignment vertical="top" wrapText="1"/>
    </xf>
    <xf numFmtId="0" fontId="4" fillId="2" borderId="1" xfId="0" applyFont="1" applyFill="1" applyBorder="1">
      <alignment vertical="center" wrapText="1"/>
    </xf>
    <xf numFmtId="0" fontId="2" fillId="3" borderId="1" xfId="0" applyFont="1" applyFill="1" applyBorder="1">
      <alignment vertical="top" wrapText="1"/>
    </xf>
    <xf numFmtId="0" fontId="2" fillId="4" borderId="1" xfId="0" applyFont="1" applyFill="1" applyBorder="1">
      <alignment vertical="top" wrapText="1"/>
    </xf>
    <xf numFmtId="164" fontId="2" fillId="3" borderId="1" xfId="0" applyFont="1" applyFill="1" applyBorder="1" applyNumberFormat="1">
      <alignment vertical="top" wrapText="1"/>
    </xf>
    <xf numFmtId="0" fontId="5" fillId="0" borderId="0" xfId="0" applyFont="1" applyFill="1" applyBorder="1">
      <alignment vertical="top" wrapText="1"/>
    </xf>
  </cellXfs>
  <cellStyles count="1">
    <cellStyle name="Normal" xfId="0" builtinId="0"/>
  </cellStyles>
  <dxfs count="4">
    <dxf>
      <font>
        <b/>
      </font>
      <fill>
        <patternFill patternType="solid">
          <bgColor rgb="FFF8D7DA"/>
        </patternFill>
      </fill>
    </dxf>
    <dxf>
      <font>
        <b/>
      </font>
      <fill>
        <patternFill patternType="solid">
          <bgColor rgb="FFFFF3CD"/>
        </patternFill>
      </fill>
    </dxf>
    <dxf>
      <font>
        <b/>
      </font>
      <fill>
        <patternFill patternType="solid">
          <bgColor rgb="FFE2E3E5"/>
        </patternFill>
      </fill>
    </dxf>
    <dxf>
      <font>
        <b/>
      </font>
      <fill>
        <patternFill patternType="solid">
          <bgColor rgb="FFD4EDDA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1" Type="http://schemas.openxmlformats.org/officeDocument/2006/relationships/hyperlink" Target="https://requirementsfirst.com/posts/requirements-traceability-matrix-template/" TargetMode="External"/></Relationships>
</file>

<file path=xl/worksheets/sheet1.xml><?xml version="1.0" encoding="utf-8"?>
<worksheet xmlns="http://schemas.openxmlformats.org/spreadsheetml/2006/main">
  <sheetViews>
    <sheetView showGridLines="0" workbookViewId="0"/>
  </sheetViews>
  <cols>
    <col min="1" max="1" width="120" customWidth="1"/>
  </cols>
  <sheetData>
    <row r="1">
      <c r="A1" s="1" t="inlineStr">
        <is>
          <t>Requirements Traceability Matrix</t>
        </is>
      </c>
    </row>
    <row r="2">
      <c r="A2" s="2" t="inlineStr">
        <is>
          <t>A free template from requirementsfirst.com. Three linked tables, coverage calculated for you.</t>
        </is>
      </c>
    </row>
    <row r="3">
      <c r="A3" s="2"/>
    </row>
    <row r="4">
      <c r="A4" s="3" t="inlineStr">
        <is>
          <t>How it works</t>
        </is>
      </c>
    </row>
    <row r="5">
      <c r="A5" s="2" t="inlineStr">
        <is>
          <t>1. Business Reqs: one row per outcome the business wants. Fill in the cream columns.</t>
        </is>
      </c>
    </row>
    <row r="6">
      <c r="A6" s="2" t="inlineStr">
        <is>
          <t>2. Functional Reqs: one row per thing the system must do. Pick the BR it serves from the dropdown (and a second BR if it serves two).</t>
        </is>
      </c>
    </row>
    <row r="7">
      <c r="A7" s="2" t="inlineStr">
        <is>
          <t>3. Test Cases: one row per test. Pick the FR it proves and set the result to Not run, Pass or Fail.</t>
        </is>
      </c>
    </row>
    <row r="8">
      <c r="A8" s="2" t="inlineStr">
        <is>
          <t>Blue-grey columns are formulas. Do not type in them. Each sheet has 100 rows ready; copy the last row down for more.</t>
        </is>
      </c>
    </row>
    <row r="9">
      <c r="A9" s="2"/>
    </row>
    <row r="10">
      <c r="A10" s="3" t="inlineStr">
        <is>
          <t>Coverage (Functional Reqs)</t>
        </is>
      </c>
    </row>
    <row r="11">
      <c r="A11" s="2" t="inlineStr">
        <is>
          <t>No tests: nothing linked.   Failing: any linked test failed.   Not run yet: some tests not run.   Passing: every linked test passed.</t>
        </is>
      </c>
    </row>
    <row r="12">
      <c r="A12" s="2"/>
    </row>
    <row r="13">
      <c r="A13" s="3" t="inlineStr">
        <is>
          <t>Trace status (Business Reqs)</t>
        </is>
      </c>
    </row>
    <row r="14">
      <c r="A14" s="2" t="inlineStr">
        <is>
          <t>Not traced: no FRs linked.   Failing: any FR is failing.   Gaps: any FR has no tests or untested ones.   Fully tested: everything beneath it passes.</t>
        </is>
      </c>
    </row>
    <row r="15">
      <c r="A15" s="2"/>
    </row>
    <row r="16">
      <c r="A16" s="3" t="inlineStr">
        <is>
          <t>The example</t>
        </is>
      </c>
    </row>
    <row r="17">
      <c r="A17" s="2" t="inlineStr">
        <is>
          <t>The rows already filled in are a synthetic refund portal project: BR-1 is Fully tested, BR-2 is Failing, BR-3 has Gaps. Delete the example rows (cream columns only) when you start your own.</t>
        </is>
      </c>
    </row>
    <row r="18">
      <c r="A18" s="2"/>
    </row>
    <row r="19">
      <c r="A19" s="3" t="inlineStr">
        <is>
          <t>Read the full guide</t>
        </is>
      </c>
    </row>
    <row r="20">
      <c r="A20" s="2" t="inlineStr">
        <is>
          <t>https://requirementsfirst.com/posts/requirements-traceability-matrix-template/</t>
        </is>
      </c>
    </row>
    <row r="21">
      <c r="A21" s="2" t="inlineStr">
        <is>
          <t>Prefer Notion? The same template as three linked databases: https://requirementsfirst.gumroad.com/l/bkgdtg</t>
        </is>
      </c>
    </row>
  </sheetData>
  <hyperlinks>
    <hyperlink xmlns:r="http://schemas.openxmlformats.org/officeDocument/2006/relationships" ref="A20" r:id="rId1"/>
  </hyperlinks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9" customWidth="1"/>
    <col min="2" max="2" width="46" customWidth="1"/>
    <col min="3" max="3" width="34" customWidth="1"/>
    <col min="4" max="4" width="11" customWidth="1"/>
    <col min="5" max="5" width="22" customWidth="1"/>
    <col min="6" max="6" width="10" customWidth="1"/>
    <col min="7" max="7" width="10" customWidth="1"/>
    <col min="8" max="8" width="11" customWidth="1"/>
    <col min="9" max="9" width="15" customWidth="1"/>
  </cols>
  <sheetData>
    <row r="1" ht="32" customHeight="1">
      <c r="A1" s="4" t="inlineStr">
        <is>
          <t>BR ID</t>
        </is>
      </c>
      <c r="B1" s="4" t="inlineStr">
        <is>
          <t>Business requirement</t>
        </is>
      </c>
      <c r="C1" s="4" t="inlineStr">
        <is>
          <t>Objective it serves</t>
        </is>
      </c>
      <c r="D1" s="4" t="inlineStr">
        <is>
          <t>Priority</t>
        </is>
      </c>
      <c r="E1" s="4" t="inlineStr">
        <is>
          <t>Signs off</t>
        </is>
      </c>
      <c r="F1" s="4" t="inlineStr">
        <is>
          <t>FRs linked</t>
        </is>
      </c>
      <c r="G1" s="4" t="inlineStr">
        <is>
          <t>FRs failing</t>
        </is>
      </c>
      <c r="H1" s="4" t="inlineStr">
        <is>
          <t>FRs with gaps</t>
        </is>
      </c>
      <c r="I1" s="4" t="inlineStr">
        <is>
          <t>Trace status</t>
        </is>
      </c>
    </row>
    <row r="2">
      <c r="A2" s="5" t="inlineStr">
        <is>
          <t>BR-1</t>
        </is>
      </c>
      <c r="B2" s="5" t="inlineStr">
        <is>
          <t>Customers can get a refund without contacting support</t>
        </is>
      </c>
      <c r="C2" s="5" t="inlineStr">
        <is>
          <t>Cut refund-related support contacts</t>
        </is>
      </c>
      <c r="D2" s="5" t="inlineStr">
        <is>
          <t>Must</t>
        </is>
      </c>
      <c r="E2" s="5" t="inlineStr">
        <is>
          <t>Priya, Head of Customer Support</t>
        </is>
      </c>
      <c r="F2" s="6">
        <f>IF(A2="","",COUNTIF('Functional Reqs'!$C$2:$C$101,A2)+COUNTIF('Functional Reqs'!$D$2:$D$101,A2))</f>
      </c>
      <c r="G2" s="6">
        <f>IF(A2="","",COUNTIFS('Functional Reqs'!$C$2:$C$101,A2,'Functional Reqs'!$J$2:$J$101,"Failing")+COUNTIFS('Functional Reqs'!$D$2:$D$101,A2,'Functional Reqs'!$J$2:$J$101,"Failing"))</f>
      </c>
      <c r="H2" s="6">
        <f>IF(A2="","",COUNTIFS('Functional Reqs'!$C$2:$C$101,A2,'Functional Reqs'!$J$2:$J$101,"No tests")+COUNTIFS('Functional Reqs'!$D$2:$D$101,A2,'Functional Reqs'!$J$2:$J$101,"No tests")+COUNTIFS('Functional Reqs'!$C$2:$C$101,A2,'Functional Reqs'!$J$2:$J$101,"Not run yet")+COUNTIFS('Functional Reqs'!$D$2:$D$101,A2,'Functional Reqs'!$J$2:$J$101,"Not run yet"))</f>
      </c>
      <c r="I2" s="6">
        <f>IF(A2="","",IF(F2=0,"Not traced",IF(G2&gt;0,"Failing",IF(H2&gt;0,"Gaps","Fully tested"))))</f>
      </c>
    </row>
    <row r="3">
      <c r="A3" s="5" t="inlineStr">
        <is>
          <t>BR-2</t>
        </is>
      </c>
      <c r="B3" s="5" t="inlineStr">
        <is>
          <t>Refunds are paid out within one business day</t>
        </is>
      </c>
      <c r="C3" s="5" t="inlineStr">
        <is>
          <t>Faster refunds, fewer chasers</t>
        </is>
      </c>
      <c r="D3" s="5" t="inlineStr">
        <is>
          <t>Must</t>
        </is>
      </c>
      <c r="E3" s="5" t="inlineStr">
        <is>
          <t>David, Finance Controller</t>
        </is>
      </c>
      <c r="F3" s="6">
        <f>IF(A3="","",COUNTIF('Functional Reqs'!$C$2:$C$101,A3)+COUNTIF('Functional Reqs'!$D$2:$D$101,A3))</f>
      </c>
      <c r="G3" s="6">
        <f>IF(A3="","",COUNTIFS('Functional Reqs'!$C$2:$C$101,A3,'Functional Reqs'!$J$2:$J$101,"Failing")+COUNTIFS('Functional Reqs'!$D$2:$D$101,A3,'Functional Reqs'!$J$2:$J$101,"Failing"))</f>
      </c>
      <c r="H3" s="6">
        <f>IF(A3="","",COUNTIFS('Functional Reqs'!$C$2:$C$101,A3,'Functional Reqs'!$J$2:$J$101,"No tests")+COUNTIFS('Functional Reqs'!$D$2:$D$101,A3,'Functional Reqs'!$J$2:$J$101,"No tests")+COUNTIFS('Functional Reqs'!$C$2:$C$101,A3,'Functional Reqs'!$J$2:$J$101,"Not run yet")+COUNTIFS('Functional Reqs'!$D$2:$D$101,A3,'Functional Reqs'!$J$2:$J$101,"Not run yet"))</f>
      </c>
      <c r="I3" s="6">
        <f>IF(A3="","",IF(F3=0,"Not traced",IF(G3&gt;0,"Failing",IF(H3&gt;0,"Gaps","Fully tested"))))</f>
      </c>
    </row>
    <row r="4">
      <c r="A4" s="5" t="inlineStr">
        <is>
          <t>BR-3</t>
        </is>
      </c>
      <c r="B4" s="5" t="inlineStr">
        <is>
          <t>Finance can audit every refund</t>
        </is>
      </c>
      <c r="C4" s="5" t="inlineStr">
        <is>
          <t>Pass the year-end refund audit</t>
        </is>
      </c>
      <c r="D4" s="5" t="inlineStr">
        <is>
          <t>Should</t>
        </is>
      </c>
      <c r="E4" s="5" t="inlineStr">
        <is>
          <t>Rahul, Compliance Manager</t>
        </is>
      </c>
      <c r="F4" s="6">
        <f>IF(A4="","",COUNTIF('Functional Reqs'!$C$2:$C$101,A4)+COUNTIF('Functional Reqs'!$D$2:$D$101,A4))</f>
      </c>
      <c r="G4" s="6">
        <f>IF(A4="","",COUNTIFS('Functional Reqs'!$C$2:$C$101,A4,'Functional Reqs'!$J$2:$J$101,"Failing")+COUNTIFS('Functional Reqs'!$D$2:$D$101,A4,'Functional Reqs'!$J$2:$J$101,"Failing"))</f>
      </c>
      <c r="H4" s="6">
        <f>IF(A4="","",COUNTIFS('Functional Reqs'!$C$2:$C$101,A4,'Functional Reqs'!$J$2:$J$101,"No tests")+COUNTIFS('Functional Reqs'!$D$2:$D$101,A4,'Functional Reqs'!$J$2:$J$101,"No tests")+COUNTIFS('Functional Reqs'!$C$2:$C$101,A4,'Functional Reqs'!$J$2:$J$101,"Not run yet")+COUNTIFS('Functional Reqs'!$D$2:$D$101,A4,'Functional Reqs'!$J$2:$J$101,"Not run yet"))</f>
      </c>
      <c r="I4" s="6">
        <f>IF(A4="","",IF(F4=0,"Not traced",IF(G4&gt;0,"Failing",IF(H4&gt;0,"Gaps","Fully tested"))))</f>
      </c>
    </row>
    <row r="5">
      <c r="A5" s="5"/>
      <c r="B5" s="5"/>
      <c r="C5" s="5"/>
      <c r="D5" s="5"/>
      <c r="E5" s="5"/>
      <c r="F5" s="6">
        <f>IF(A5="","",COUNTIF('Functional Reqs'!$C$2:$C$101,A5)+COUNTIF('Functional Reqs'!$D$2:$D$101,A5))</f>
      </c>
      <c r="G5" s="6">
        <f>IF(A5="","",COUNTIFS('Functional Reqs'!$C$2:$C$101,A5,'Functional Reqs'!$J$2:$J$101,"Failing")+COUNTIFS('Functional Reqs'!$D$2:$D$101,A5,'Functional Reqs'!$J$2:$J$101,"Failing"))</f>
      </c>
      <c r="H5" s="6">
        <f>IF(A5="","",COUNTIFS('Functional Reqs'!$C$2:$C$101,A5,'Functional Reqs'!$J$2:$J$101,"No tests")+COUNTIFS('Functional Reqs'!$D$2:$D$101,A5,'Functional Reqs'!$J$2:$J$101,"No tests")+COUNTIFS('Functional Reqs'!$C$2:$C$101,A5,'Functional Reqs'!$J$2:$J$101,"Not run yet")+COUNTIFS('Functional Reqs'!$D$2:$D$101,A5,'Functional Reqs'!$J$2:$J$101,"Not run yet"))</f>
      </c>
      <c r="I5" s="6">
        <f>IF(A5="","",IF(F5=0,"Not traced",IF(G5&gt;0,"Failing",IF(H5&gt;0,"Gaps","Fully tested"))))</f>
      </c>
    </row>
    <row r="6">
      <c r="A6" s="5"/>
      <c r="B6" s="5"/>
      <c r="C6" s="5"/>
      <c r="D6" s="5"/>
      <c r="E6" s="5"/>
      <c r="F6" s="6">
        <f>IF(A6="","",COUNTIF('Functional Reqs'!$C$2:$C$101,A6)+COUNTIF('Functional Reqs'!$D$2:$D$101,A6))</f>
      </c>
      <c r="G6" s="6">
        <f>IF(A6="","",COUNTIFS('Functional Reqs'!$C$2:$C$101,A6,'Functional Reqs'!$J$2:$J$101,"Failing")+COUNTIFS('Functional Reqs'!$D$2:$D$101,A6,'Functional Reqs'!$J$2:$J$101,"Failing"))</f>
      </c>
      <c r="H6" s="6">
        <f>IF(A6="","",COUNTIFS('Functional Reqs'!$C$2:$C$101,A6,'Functional Reqs'!$J$2:$J$101,"No tests")+COUNTIFS('Functional Reqs'!$D$2:$D$101,A6,'Functional Reqs'!$J$2:$J$101,"No tests")+COUNTIFS('Functional Reqs'!$C$2:$C$101,A6,'Functional Reqs'!$J$2:$J$101,"Not run yet")+COUNTIFS('Functional Reqs'!$D$2:$D$101,A6,'Functional Reqs'!$J$2:$J$101,"Not run yet"))</f>
      </c>
      <c r="I6" s="6">
        <f>IF(A6="","",IF(F6=0,"Not traced",IF(G6&gt;0,"Failing",IF(H6&gt;0,"Gaps","Fully tested"))))</f>
      </c>
    </row>
    <row r="7">
      <c r="A7" s="5"/>
      <c r="B7" s="5"/>
      <c r="C7" s="5"/>
      <c r="D7" s="5"/>
      <c r="E7" s="5"/>
      <c r="F7" s="6">
        <f>IF(A7="","",COUNTIF('Functional Reqs'!$C$2:$C$101,A7)+COUNTIF('Functional Reqs'!$D$2:$D$101,A7))</f>
      </c>
      <c r="G7" s="6">
        <f>IF(A7="","",COUNTIFS('Functional Reqs'!$C$2:$C$101,A7,'Functional Reqs'!$J$2:$J$101,"Failing")+COUNTIFS('Functional Reqs'!$D$2:$D$101,A7,'Functional Reqs'!$J$2:$J$101,"Failing"))</f>
      </c>
      <c r="H7" s="6">
        <f>IF(A7="","",COUNTIFS('Functional Reqs'!$C$2:$C$101,A7,'Functional Reqs'!$J$2:$J$101,"No tests")+COUNTIFS('Functional Reqs'!$D$2:$D$101,A7,'Functional Reqs'!$J$2:$J$101,"No tests")+COUNTIFS('Functional Reqs'!$C$2:$C$101,A7,'Functional Reqs'!$J$2:$J$101,"Not run yet")+COUNTIFS('Functional Reqs'!$D$2:$D$101,A7,'Functional Reqs'!$J$2:$J$101,"Not run yet"))</f>
      </c>
      <c r="I7" s="6">
        <f>IF(A7="","",IF(F7=0,"Not traced",IF(G7&gt;0,"Failing",IF(H7&gt;0,"Gaps","Fully tested"))))</f>
      </c>
    </row>
    <row r="8">
      <c r="A8" s="5"/>
      <c r="B8" s="5"/>
      <c r="C8" s="5"/>
      <c r="D8" s="5"/>
      <c r="E8" s="5"/>
      <c r="F8" s="6">
        <f>IF(A8="","",COUNTIF('Functional Reqs'!$C$2:$C$101,A8)+COUNTIF('Functional Reqs'!$D$2:$D$101,A8))</f>
      </c>
      <c r="G8" s="6">
        <f>IF(A8="","",COUNTIFS('Functional Reqs'!$C$2:$C$101,A8,'Functional Reqs'!$J$2:$J$101,"Failing")+COUNTIFS('Functional Reqs'!$D$2:$D$101,A8,'Functional Reqs'!$J$2:$J$101,"Failing"))</f>
      </c>
      <c r="H8" s="6">
        <f>IF(A8="","",COUNTIFS('Functional Reqs'!$C$2:$C$101,A8,'Functional Reqs'!$J$2:$J$101,"No tests")+COUNTIFS('Functional Reqs'!$D$2:$D$101,A8,'Functional Reqs'!$J$2:$J$101,"No tests")+COUNTIFS('Functional Reqs'!$C$2:$C$101,A8,'Functional Reqs'!$J$2:$J$101,"Not run yet")+COUNTIFS('Functional Reqs'!$D$2:$D$101,A8,'Functional Reqs'!$J$2:$J$101,"Not run yet"))</f>
      </c>
      <c r="I8" s="6">
        <f>IF(A8="","",IF(F8=0,"Not traced",IF(G8&gt;0,"Failing",IF(H8&gt;0,"Gaps","Fully tested"))))</f>
      </c>
    </row>
    <row r="9">
      <c r="A9" s="5"/>
      <c r="B9" s="5"/>
      <c r="C9" s="5"/>
      <c r="D9" s="5"/>
      <c r="E9" s="5"/>
      <c r="F9" s="6">
        <f>IF(A9="","",COUNTIF('Functional Reqs'!$C$2:$C$101,A9)+COUNTIF('Functional Reqs'!$D$2:$D$101,A9))</f>
      </c>
      <c r="G9" s="6">
        <f>IF(A9="","",COUNTIFS('Functional Reqs'!$C$2:$C$101,A9,'Functional Reqs'!$J$2:$J$101,"Failing")+COUNTIFS('Functional Reqs'!$D$2:$D$101,A9,'Functional Reqs'!$J$2:$J$101,"Failing"))</f>
      </c>
      <c r="H9" s="6">
        <f>IF(A9="","",COUNTIFS('Functional Reqs'!$C$2:$C$101,A9,'Functional Reqs'!$J$2:$J$101,"No tests")+COUNTIFS('Functional Reqs'!$D$2:$D$101,A9,'Functional Reqs'!$J$2:$J$101,"No tests")+COUNTIFS('Functional Reqs'!$C$2:$C$101,A9,'Functional Reqs'!$J$2:$J$101,"Not run yet")+COUNTIFS('Functional Reqs'!$D$2:$D$101,A9,'Functional Reqs'!$J$2:$J$101,"Not run yet"))</f>
      </c>
      <c r="I9" s="6">
        <f>IF(A9="","",IF(F9=0,"Not traced",IF(G9&gt;0,"Failing",IF(H9&gt;0,"Gaps","Fully tested"))))</f>
      </c>
    </row>
    <row r="10">
      <c r="A10" s="5"/>
      <c r="B10" s="5"/>
      <c r="C10" s="5"/>
      <c r="D10" s="5"/>
      <c r="E10" s="5"/>
      <c r="F10" s="6">
        <f>IF(A10="","",COUNTIF('Functional Reqs'!$C$2:$C$101,A10)+COUNTIF('Functional Reqs'!$D$2:$D$101,A10))</f>
      </c>
      <c r="G10" s="6">
        <f>IF(A10="","",COUNTIFS('Functional Reqs'!$C$2:$C$101,A10,'Functional Reqs'!$J$2:$J$101,"Failing")+COUNTIFS('Functional Reqs'!$D$2:$D$101,A10,'Functional Reqs'!$J$2:$J$101,"Failing"))</f>
      </c>
      <c r="H10" s="6">
        <f>IF(A10="","",COUNTIFS('Functional Reqs'!$C$2:$C$101,A10,'Functional Reqs'!$J$2:$J$101,"No tests")+COUNTIFS('Functional Reqs'!$D$2:$D$101,A10,'Functional Reqs'!$J$2:$J$101,"No tests")+COUNTIFS('Functional Reqs'!$C$2:$C$101,A10,'Functional Reqs'!$J$2:$J$101,"Not run yet")+COUNTIFS('Functional Reqs'!$D$2:$D$101,A10,'Functional Reqs'!$J$2:$J$101,"Not run yet"))</f>
      </c>
      <c r="I10" s="6">
        <f>IF(A10="","",IF(F10=0,"Not traced",IF(G10&gt;0,"Failing",IF(H10&gt;0,"Gaps","Fully tested"))))</f>
      </c>
    </row>
    <row r="11">
      <c r="A11" s="5"/>
      <c r="B11" s="5"/>
      <c r="C11" s="5"/>
      <c r="D11" s="5"/>
      <c r="E11" s="5"/>
      <c r="F11" s="6">
        <f>IF(A11="","",COUNTIF('Functional Reqs'!$C$2:$C$101,A11)+COUNTIF('Functional Reqs'!$D$2:$D$101,A11))</f>
      </c>
      <c r="G11" s="6">
        <f>IF(A11="","",COUNTIFS('Functional Reqs'!$C$2:$C$101,A11,'Functional Reqs'!$J$2:$J$101,"Failing")+COUNTIFS('Functional Reqs'!$D$2:$D$101,A11,'Functional Reqs'!$J$2:$J$101,"Failing"))</f>
      </c>
      <c r="H11" s="6">
        <f>IF(A11="","",COUNTIFS('Functional Reqs'!$C$2:$C$101,A11,'Functional Reqs'!$J$2:$J$101,"No tests")+COUNTIFS('Functional Reqs'!$D$2:$D$101,A11,'Functional Reqs'!$J$2:$J$101,"No tests")+COUNTIFS('Functional Reqs'!$C$2:$C$101,A11,'Functional Reqs'!$J$2:$J$101,"Not run yet")+COUNTIFS('Functional Reqs'!$D$2:$D$101,A11,'Functional Reqs'!$J$2:$J$101,"Not run yet"))</f>
      </c>
      <c r="I11" s="6">
        <f>IF(A11="","",IF(F11=0,"Not traced",IF(G11&gt;0,"Failing",IF(H11&gt;0,"Gaps","Fully tested"))))</f>
      </c>
    </row>
    <row r="12">
      <c r="A12" s="5"/>
      <c r="B12" s="5"/>
      <c r="C12" s="5"/>
      <c r="D12" s="5"/>
      <c r="E12" s="5"/>
      <c r="F12" s="6">
        <f>IF(A12="","",COUNTIF('Functional Reqs'!$C$2:$C$101,A12)+COUNTIF('Functional Reqs'!$D$2:$D$101,A12))</f>
      </c>
      <c r="G12" s="6">
        <f>IF(A12="","",COUNTIFS('Functional Reqs'!$C$2:$C$101,A12,'Functional Reqs'!$J$2:$J$101,"Failing")+COUNTIFS('Functional Reqs'!$D$2:$D$101,A12,'Functional Reqs'!$J$2:$J$101,"Failing"))</f>
      </c>
      <c r="H12" s="6">
        <f>IF(A12="","",COUNTIFS('Functional Reqs'!$C$2:$C$101,A12,'Functional Reqs'!$J$2:$J$101,"No tests")+COUNTIFS('Functional Reqs'!$D$2:$D$101,A12,'Functional Reqs'!$J$2:$J$101,"No tests")+COUNTIFS('Functional Reqs'!$C$2:$C$101,A12,'Functional Reqs'!$J$2:$J$101,"Not run yet")+COUNTIFS('Functional Reqs'!$D$2:$D$101,A12,'Functional Reqs'!$J$2:$J$101,"Not run yet"))</f>
      </c>
      <c r="I12" s="6">
        <f>IF(A12="","",IF(F12=0,"Not traced",IF(G12&gt;0,"Failing",IF(H12&gt;0,"Gaps","Fully tested"))))</f>
      </c>
    </row>
    <row r="13">
      <c r="A13" s="5"/>
      <c r="B13" s="5"/>
      <c r="C13" s="5"/>
      <c r="D13" s="5"/>
      <c r="E13" s="5"/>
      <c r="F13" s="6">
        <f>IF(A13="","",COUNTIF('Functional Reqs'!$C$2:$C$101,A13)+COUNTIF('Functional Reqs'!$D$2:$D$101,A13))</f>
      </c>
      <c r="G13" s="6">
        <f>IF(A13="","",COUNTIFS('Functional Reqs'!$C$2:$C$101,A13,'Functional Reqs'!$J$2:$J$101,"Failing")+COUNTIFS('Functional Reqs'!$D$2:$D$101,A13,'Functional Reqs'!$J$2:$J$101,"Failing"))</f>
      </c>
      <c r="H13" s="6">
        <f>IF(A13="","",COUNTIFS('Functional Reqs'!$C$2:$C$101,A13,'Functional Reqs'!$J$2:$J$101,"No tests")+COUNTIFS('Functional Reqs'!$D$2:$D$101,A13,'Functional Reqs'!$J$2:$J$101,"No tests")+COUNTIFS('Functional Reqs'!$C$2:$C$101,A13,'Functional Reqs'!$J$2:$J$101,"Not run yet")+COUNTIFS('Functional Reqs'!$D$2:$D$101,A13,'Functional Reqs'!$J$2:$J$101,"Not run yet"))</f>
      </c>
      <c r="I13" s="6">
        <f>IF(A13="","",IF(F13=0,"Not traced",IF(G13&gt;0,"Failing",IF(H13&gt;0,"Gaps","Fully tested"))))</f>
      </c>
    </row>
    <row r="14">
      <c r="A14" s="5"/>
      <c r="B14" s="5"/>
      <c r="C14" s="5"/>
      <c r="D14" s="5"/>
      <c r="E14" s="5"/>
      <c r="F14" s="6">
        <f>IF(A14="","",COUNTIF('Functional Reqs'!$C$2:$C$101,A14)+COUNTIF('Functional Reqs'!$D$2:$D$101,A14))</f>
      </c>
      <c r="G14" s="6">
        <f>IF(A14="","",COUNTIFS('Functional Reqs'!$C$2:$C$101,A14,'Functional Reqs'!$J$2:$J$101,"Failing")+COUNTIFS('Functional Reqs'!$D$2:$D$101,A14,'Functional Reqs'!$J$2:$J$101,"Failing"))</f>
      </c>
      <c r="H14" s="6">
        <f>IF(A14="","",COUNTIFS('Functional Reqs'!$C$2:$C$101,A14,'Functional Reqs'!$J$2:$J$101,"No tests")+COUNTIFS('Functional Reqs'!$D$2:$D$101,A14,'Functional Reqs'!$J$2:$J$101,"No tests")+COUNTIFS('Functional Reqs'!$C$2:$C$101,A14,'Functional Reqs'!$J$2:$J$101,"Not run yet")+COUNTIFS('Functional Reqs'!$D$2:$D$101,A14,'Functional Reqs'!$J$2:$J$101,"Not run yet"))</f>
      </c>
      <c r="I14" s="6">
        <f>IF(A14="","",IF(F14=0,"Not traced",IF(G14&gt;0,"Failing",IF(H14&gt;0,"Gaps","Fully tested"))))</f>
      </c>
    </row>
    <row r="15">
      <c r="A15" s="5"/>
      <c r="B15" s="5"/>
      <c r="C15" s="5"/>
      <c r="D15" s="5"/>
      <c r="E15" s="5"/>
      <c r="F15" s="6">
        <f>IF(A15="","",COUNTIF('Functional Reqs'!$C$2:$C$101,A15)+COUNTIF('Functional Reqs'!$D$2:$D$101,A15))</f>
      </c>
      <c r="G15" s="6">
        <f>IF(A15="","",COUNTIFS('Functional Reqs'!$C$2:$C$101,A15,'Functional Reqs'!$J$2:$J$101,"Failing")+COUNTIFS('Functional Reqs'!$D$2:$D$101,A15,'Functional Reqs'!$J$2:$J$101,"Failing"))</f>
      </c>
      <c r="H15" s="6">
        <f>IF(A15="","",COUNTIFS('Functional Reqs'!$C$2:$C$101,A15,'Functional Reqs'!$J$2:$J$101,"No tests")+COUNTIFS('Functional Reqs'!$D$2:$D$101,A15,'Functional Reqs'!$J$2:$J$101,"No tests")+COUNTIFS('Functional Reqs'!$C$2:$C$101,A15,'Functional Reqs'!$J$2:$J$101,"Not run yet")+COUNTIFS('Functional Reqs'!$D$2:$D$101,A15,'Functional Reqs'!$J$2:$J$101,"Not run yet"))</f>
      </c>
      <c r="I15" s="6">
        <f>IF(A15="","",IF(F15=0,"Not traced",IF(G15&gt;0,"Failing",IF(H15&gt;0,"Gaps","Fully tested"))))</f>
      </c>
    </row>
    <row r="16">
      <c r="A16" s="5"/>
      <c r="B16" s="5"/>
      <c r="C16" s="5"/>
      <c r="D16" s="5"/>
      <c r="E16" s="5"/>
      <c r="F16" s="6">
        <f>IF(A16="","",COUNTIF('Functional Reqs'!$C$2:$C$101,A16)+COUNTIF('Functional Reqs'!$D$2:$D$101,A16))</f>
      </c>
      <c r="G16" s="6">
        <f>IF(A16="","",COUNTIFS('Functional Reqs'!$C$2:$C$101,A16,'Functional Reqs'!$J$2:$J$101,"Failing")+COUNTIFS('Functional Reqs'!$D$2:$D$101,A16,'Functional Reqs'!$J$2:$J$101,"Failing"))</f>
      </c>
      <c r="H16" s="6">
        <f>IF(A16="","",COUNTIFS('Functional Reqs'!$C$2:$C$101,A16,'Functional Reqs'!$J$2:$J$101,"No tests")+COUNTIFS('Functional Reqs'!$D$2:$D$101,A16,'Functional Reqs'!$J$2:$J$101,"No tests")+COUNTIFS('Functional Reqs'!$C$2:$C$101,A16,'Functional Reqs'!$J$2:$J$101,"Not run yet")+COUNTIFS('Functional Reqs'!$D$2:$D$101,A16,'Functional Reqs'!$J$2:$J$101,"Not run yet"))</f>
      </c>
      <c r="I16" s="6">
        <f>IF(A16="","",IF(F16=0,"Not traced",IF(G16&gt;0,"Failing",IF(H16&gt;0,"Gaps","Fully tested"))))</f>
      </c>
    </row>
    <row r="17">
      <c r="A17" s="5"/>
      <c r="B17" s="5"/>
      <c r="C17" s="5"/>
      <c r="D17" s="5"/>
      <c r="E17" s="5"/>
      <c r="F17" s="6">
        <f>IF(A17="","",COUNTIF('Functional Reqs'!$C$2:$C$101,A17)+COUNTIF('Functional Reqs'!$D$2:$D$101,A17))</f>
      </c>
      <c r="G17" s="6">
        <f>IF(A17="","",COUNTIFS('Functional Reqs'!$C$2:$C$101,A17,'Functional Reqs'!$J$2:$J$101,"Failing")+COUNTIFS('Functional Reqs'!$D$2:$D$101,A17,'Functional Reqs'!$J$2:$J$101,"Failing"))</f>
      </c>
      <c r="H17" s="6">
        <f>IF(A17="","",COUNTIFS('Functional Reqs'!$C$2:$C$101,A17,'Functional Reqs'!$J$2:$J$101,"No tests")+COUNTIFS('Functional Reqs'!$D$2:$D$101,A17,'Functional Reqs'!$J$2:$J$101,"No tests")+COUNTIFS('Functional Reqs'!$C$2:$C$101,A17,'Functional Reqs'!$J$2:$J$101,"Not run yet")+COUNTIFS('Functional Reqs'!$D$2:$D$101,A17,'Functional Reqs'!$J$2:$J$101,"Not run yet"))</f>
      </c>
      <c r="I17" s="6">
        <f>IF(A17="","",IF(F17=0,"Not traced",IF(G17&gt;0,"Failing",IF(H17&gt;0,"Gaps","Fully tested"))))</f>
      </c>
    </row>
    <row r="18">
      <c r="A18" s="5"/>
      <c r="B18" s="5"/>
      <c r="C18" s="5"/>
      <c r="D18" s="5"/>
      <c r="E18" s="5"/>
      <c r="F18" s="6">
        <f>IF(A18="","",COUNTIF('Functional Reqs'!$C$2:$C$101,A18)+COUNTIF('Functional Reqs'!$D$2:$D$101,A18))</f>
      </c>
      <c r="G18" s="6">
        <f>IF(A18="","",COUNTIFS('Functional Reqs'!$C$2:$C$101,A18,'Functional Reqs'!$J$2:$J$101,"Failing")+COUNTIFS('Functional Reqs'!$D$2:$D$101,A18,'Functional Reqs'!$J$2:$J$101,"Failing"))</f>
      </c>
      <c r="H18" s="6">
        <f>IF(A18="","",COUNTIFS('Functional Reqs'!$C$2:$C$101,A18,'Functional Reqs'!$J$2:$J$101,"No tests")+COUNTIFS('Functional Reqs'!$D$2:$D$101,A18,'Functional Reqs'!$J$2:$J$101,"No tests")+COUNTIFS('Functional Reqs'!$C$2:$C$101,A18,'Functional Reqs'!$J$2:$J$101,"Not run yet")+COUNTIFS('Functional Reqs'!$D$2:$D$101,A18,'Functional Reqs'!$J$2:$J$101,"Not run yet"))</f>
      </c>
      <c r="I18" s="6">
        <f>IF(A18="","",IF(F18=0,"Not traced",IF(G18&gt;0,"Failing",IF(H18&gt;0,"Gaps","Fully tested"))))</f>
      </c>
    </row>
    <row r="19">
      <c r="A19" s="5"/>
      <c r="B19" s="5"/>
      <c r="C19" s="5"/>
      <c r="D19" s="5"/>
      <c r="E19" s="5"/>
      <c r="F19" s="6">
        <f>IF(A19="","",COUNTIF('Functional Reqs'!$C$2:$C$101,A19)+COUNTIF('Functional Reqs'!$D$2:$D$101,A19))</f>
      </c>
      <c r="G19" s="6">
        <f>IF(A19="","",COUNTIFS('Functional Reqs'!$C$2:$C$101,A19,'Functional Reqs'!$J$2:$J$101,"Failing")+COUNTIFS('Functional Reqs'!$D$2:$D$101,A19,'Functional Reqs'!$J$2:$J$101,"Failing"))</f>
      </c>
      <c r="H19" s="6">
        <f>IF(A19="","",COUNTIFS('Functional Reqs'!$C$2:$C$101,A19,'Functional Reqs'!$J$2:$J$101,"No tests")+COUNTIFS('Functional Reqs'!$D$2:$D$101,A19,'Functional Reqs'!$J$2:$J$101,"No tests")+COUNTIFS('Functional Reqs'!$C$2:$C$101,A19,'Functional Reqs'!$J$2:$J$101,"Not run yet")+COUNTIFS('Functional Reqs'!$D$2:$D$101,A19,'Functional Reqs'!$J$2:$J$101,"Not run yet"))</f>
      </c>
      <c r="I19" s="6">
        <f>IF(A19="","",IF(F19=0,"Not traced",IF(G19&gt;0,"Failing",IF(H19&gt;0,"Gaps","Fully tested"))))</f>
      </c>
    </row>
    <row r="20">
      <c r="A20" s="5"/>
      <c r="B20" s="5"/>
      <c r="C20" s="5"/>
      <c r="D20" s="5"/>
      <c r="E20" s="5"/>
      <c r="F20" s="6">
        <f>IF(A20="","",COUNTIF('Functional Reqs'!$C$2:$C$101,A20)+COUNTIF('Functional Reqs'!$D$2:$D$101,A20))</f>
      </c>
      <c r="G20" s="6">
        <f>IF(A20="","",COUNTIFS('Functional Reqs'!$C$2:$C$101,A20,'Functional Reqs'!$J$2:$J$101,"Failing")+COUNTIFS('Functional Reqs'!$D$2:$D$101,A20,'Functional Reqs'!$J$2:$J$101,"Failing"))</f>
      </c>
      <c r="H20" s="6">
        <f>IF(A20="","",COUNTIFS('Functional Reqs'!$C$2:$C$101,A20,'Functional Reqs'!$J$2:$J$101,"No tests")+COUNTIFS('Functional Reqs'!$D$2:$D$101,A20,'Functional Reqs'!$J$2:$J$101,"No tests")+COUNTIFS('Functional Reqs'!$C$2:$C$101,A20,'Functional Reqs'!$J$2:$J$101,"Not run yet")+COUNTIFS('Functional Reqs'!$D$2:$D$101,A20,'Functional Reqs'!$J$2:$J$101,"Not run yet"))</f>
      </c>
      <c r="I20" s="6">
        <f>IF(A20="","",IF(F20=0,"Not traced",IF(G20&gt;0,"Failing",IF(H20&gt;0,"Gaps","Fully tested"))))</f>
      </c>
    </row>
    <row r="21">
      <c r="A21" s="5"/>
      <c r="B21" s="5"/>
      <c r="C21" s="5"/>
      <c r="D21" s="5"/>
      <c r="E21" s="5"/>
      <c r="F21" s="6">
        <f>IF(A21="","",COUNTIF('Functional Reqs'!$C$2:$C$101,A21)+COUNTIF('Functional Reqs'!$D$2:$D$101,A21))</f>
      </c>
      <c r="G21" s="6">
        <f>IF(A21="","",COUNTIFS('Functional Reqs'!$C$2:$C$101,A21,'Functional Reqs'!$J$2:$J$101,"Failing")+COUNTIFS('Functional Reqs'!$D$2:$D$101,A21,'Functional Reqs'!$J$2:$J$101,"Failing"))</f>
      </c>
      <c r="H21" s="6">
        <f>IF(A21="","",COUNTIFS('Functional Reqs'!$C$2:$C$101,A21,'Functional Reqs'!$J$2:$J$101,"No tests")+COUNTIFS('Functional Reqs'!$D$2:$D$101,A21,'Functional Reqs'!$J$2:$J$101,"No tests")+COUNTIFS('Functional Reqs'!$C$2:$C$101,A21,'Functional Reqs'!$J$2:$J$101,"Not run yet")+COUNTIFS('Functional Reqs'!$D$2:$D$101,A21,'Functional Reqs'!$J$2:$J$101,"Not run yet"))</f>
      </c>
      <c r="I21" s="6">
        <f>IF(A21="","",IF(F21=0,"Not traced",IF(G21&gt;0,"Failing",IF(H21&gt;0,"Gaps","Fully tested"))))</f>
      </c>
    </row>
    <row r="22">
      <c r="A22" s="5"/>
      <c r="B22" s="5"/>
      <c r="C22" s="5"/>
      <c r="D22" s="5"/>
      <c r="E22" s="5"/>
      <c r="F22" s="6">
        <f>IF(A22="","",COUNTIF('Functional Reqs'!$C$2:$C$101,A22)+COUNTIF('Functional Reqs'!$D$2:$D$101,A22))</f>
      </c>
      <c r="G22" s="6">
        <f>IF(A22="","",COUNTIFS('Functional Reqs'!$C$2:$C$101,A22,'Functional Reqs'!$J$2:$J$101,"Failing")+COUNTIFS('Functional Reqs'!$D$2:$D$101,A22,'Functional Reqs'!$J$2:$J$101,"Failing"))</f>
      </c>
      <c r="H22" s="6">
        <f>IF(A22="","",COUNTIFS('Functional Reqs'!$C$2:$C$101,A22,'Functional Reqs'!$J$2:$J$101,"No tests")+COUNTIFS('Functional Reqs'!$D$2:$D$101,A22,'Functional Reqs'!$J$2:$J$101,"No tests")+COUNTIFS('Functional Reqs'!$C$2:$C$101,A22,'Functional Reqs'!$J$2:$J$101,"Not run yet")+COUNTIFS('Functional Reqs'!$D$2:$D$101,A22,'Functional Reqs'!$J$2:$J$101,"Not run yet"))</f>
      </c>
      <c r="I22" s="6">
        <f>IF(A22="","",IF(F22=0,"Not traced",IF(G22&gt;0,"Failing",IF(H22&gt;0,"Gaps","Fully tested"))))</f>
      </c>
    </row>
    <row r="23">
      <c r="A23" s="5"/>
      <c r="B23" s="5"/>
      <c r="C23" s="5"/>
      <c r="D23" s="5"/>
      <c r="E23" s="5"/>
      <c r="F23" s="6">
        <f>IF(A23="","",COUNTIF('Functional Reqs'!$C$2:$C$101,A23)+COUNTIF('Functional Reqs'!$D$2:$D$101,A23))</f>
      </c>
      <c r="G23" s="6">
        <f>IF(A23="","",COUNTIFS('Functional Reqs'!$C$2:$C$101,A23,'Functional Reqs'!$J$2:$J$101,"Failing")+COUNTIFS('Functional Reqs'!$D$2:$D$101,A23,'Functional Reqs'!$J$2:$J$101,"Failing"))</f>
      </c>
      <c r="H23" s="6">
        <f>IF(A23="","",COUNTIFS('Functional Reqs'!$C$2:$C$101,A23,'Functional Reqs'!$J$2:$J$101,"No tests")+COUNTIFS('Functional Reqs'!$D$2:$D$101,A23,'Functional Reqs'!$J$2:$J$101,"No tests")+COUNTIFS('Functional Reqs'!$C$2:$C$101,A23,'Functional Reqs'!$J$2:$J$101,"Not run yet")+COUNTIFS('Functional Reqs'!$D$2:$D$101,A23,'Functional Reqs'!$J$2:$J$101,"Not run yet"))</f>
      </c>
      <c r="I23" s="6">
        <f>IF(A23="","",IF(F23=0,"Not traced",IF(G23&gt;0,"Failing",IF(H23&gt;0,"Gaps","Fully tested"))))</f>
      </c>
    </row>
    <row r="24">
      <c r="A24" s="5"/>
      <c r="B24" s="5"/>
      <c r="C24" s="5"/>
      <c r="D24" s="5"/>
      <c r="E24" s="5"/>
      <c r="F24" s="6">
        <f>IF(A24="","",COUNTIF('Functional Reqs'!$C$2:$C$101,A24)+COUNTIF('Functional Reqs'!$D$2:$D$101,A24))</f>
      </c>
      <c r="G24" s="6">
        <f>IF(A24="","",COUNTIFS('Functional Reqs'!$C$2:$C$101,A24,'Functional Reqs'!$J$2:$J$101,"Failing")+COUNTIFS('Functional Reqs'!$D$2:$D$101,A24,'Functional Reqs'!$J$2:$J$101,"Failing"))</f>
      </c>
      <c r="H24" s="6">
        <f>IF(A24="","",COUNTIFS('Functional Reqs'!$C$2:$C$101,A24,'Functional Reqs'!$J$2:$J$101,"No tests")+COUNTIFS('Functional Reqs'!$D$2:$D$101,A24,'Functional Reqs'!$J$2:$J$101,"No tests")+COUNTIFS('Functional Reqs'!$C$2:$C$101,A24,'Functional Reqs'!$J$2:$J$101,"Not run yet")+COUNTIFS('Functional Reqs'!$D$2:$D$101,A24,'Functional Reqs'!$J$2:$J$101,"Not run yet"))</f>
      </c>
      <c r="I24" s="6">
        <f>IF(A24="","",IF(F24=0,"Not traced",IF(G24&gt;0,"Failing",IF(H24&gt;0,"Gaps","Fully tested"))))</f>
      </c>
    </row>
    <row r="25">
      <c r="A25" s="5"/>
      <c r="B25" s="5"/>
      <c r="C25" s="5"/>
      <c r="D25" s="5"/>
      <c r="E25" s="5"/>
      <c r="F25" s="6">
        <f>IF(A25="","",COUNTIF('Functional Reqs'!$C$2:$C$101,A25)+COUNTIF('Functional Reqs'!$D$2:$D$101,A25))</f>
      </c>
      <c r="G25" s="6">
        <f>IF(A25="","",COUNTIFS('Functional Reqs'!$C$2:$C$101,A25,'Functional Reqs'!$J$2:$J$101,"Failing")+COUNTIFS('Functional Reqs'!$D$2:$D$101,A25,'Functional Reqs'!$J$2:$J$101,"Failing"))</f>
      </c>
      <c r="H25" s="6">
        <f>IF(A25="","",COUNTIFS('Functional Reqs'!$C$2:$C$101,A25,'Functional Reqs'!$J$2:$J$101,"No tests")+COUNTIFS('Functional Reqs'!$D$2:$D$101,A25,'Functional Reqs'!$J$2:$J$101,"No tests")+COUNTIFS('Functional Reqs'!$C$2:$C$101,A25,'Functional Reqs'!$J$2:$J$101,"Not run yet")+COUNTIFS('Functional Reqs'!$D$2:$D$101,A25,'Functional Reqs'!$J$2:$J$101,"Not run yet"))</f>
      </c>
      <c r="I25" s="6">
        <f>IF(A25="","",IF(F25=0,"Not traced",IF(G25&gt;0,"Failing",IF(H25&gt;0,"Gaps","Fully tested"))))</f>
      </c>
    </row>
    <row r="26">
      <c r="A26" s="5"/>
      <c r="B26" s="5"/>
      <c r="C26" s="5"/>
      <c r="D26" s="5"/>
      <c r="E26" s="5"/>
      <c r="F26" s="6">
        <f>IF(A26="","",COUNTIF('Functional Reqs'!$C$2:$C$101,A26)+COUNTIF('Functional Reqs'!$D$2:$D$101,A26))</f>
      </c>
      <c r="G26" s="6">
        <f>IF(A26="","",COUNTIFS('Functional Reqs'!$C$2:$C$101,A26,'Functional Reqs'!$J$2:$J$101,"Failing")+COUNTIFS('Functional Reqs'!$D$2:$D$101,A26,'Functional Reqs'!$J$2:$J$101,"Failing"))</f>
      </c>
      <c r="H26" s="6">
        <f>IF(A26="","",COUNTIFS('Functional Reqs'!$C$2:$C$101,A26,'Functional Reqs'!$J$2:$J$101,"No tests")+COUNTIFS('Functional Reqs'!$D$2:$D$101,A26,'Functional Reqs'!$J$2:$J$101,"No tests")+COUNTIFS('Functional Reqs'!$C$2:$C$101,A26,'Functional Reqs'!$J$2:$J$101,"Not run yet")+COUNTIFS('Functional Reqs'!$D$2:$D$101,A26,'Functional Reqs'!$J$2:$J$101,"Not run yet"))</f>
      </c>
      <c r="I26" s="6">
        <f>IF(A26="","",IF(F26=0,"Not traced",IF(G26&gt;0,"Failing",IF(H26&gt;0,"Gaps","Fully tested"))))</f>
      </c>
    </row>
    <row r="27">
      <c r="A27" s="5"/>
      <c r="B27" s="5"/>
      <c r="C27" s="5"/>
      <c r="D27" s="5"/>
      <c r="E27" s="5"/>
      <c r="F27" s="6">
        <f>IF(A27="","",COUNTIF('Functional Reqs'!$C$2:$C$101,A27)+COUNTIF('Functional Reqs'!$D$2:$D$101,A27))</f>
      </c>
      <c r="G27" s="6">
        <f>IF(A27="","",COUNTIFS('Functional Reqs'!$C$2:$C$101,A27,'Functional Reqs'!$J$2:$J$101,"Failing")+COUNTIFS('Functional Reqs'!$D$2:$D$101,A27,'Functional Reqs'!$J$2:$J$101,"Failing"))</f>
      </c>
      <c r="H27" s="6">
        <f>IF(A27="","",COUNTIFS('Functional Reqs'!$C$2:$C$101,A27,'Functional Reqs'!$J$2:$J$101,"No tests")+COUNTIFS('Functional Reqs'!$D$2:$D$101,A27,'Functional Reqs'!$J$2:$J$101,"No tests")+COUNTIFS('Functional Reqs'!$C$2:$C$101,A27,'Functional Reqs'!$J$2:$J$101,"Not run yet")+COUNTIFS('Functional Reqs'!$D$2:$D$101,A27,'Functional Reqs'!$J$2:$J$101,"Not run yet"))</f>
      </c>
      <c r="I27" s="6">
        <f>IF(A27="","",IF(F27=0,"Not traced",IF(G27&gt;0,"Failing",IF(H27&gt;0,"Gaps","Fully tested"))))</f>
      </c>
    </row>
    <row r="28">
      <c r="A28" s="5"/>
      <c r="B28" s="5"/>
      <c r="C28" s="5"/>
      <c r="D28" s="5"/>
      <c r="E28" s="5"/>
      <c r="F28" s="6">
        <f>IF(A28="","",COUNTIF('Functional Reqs'!$C$2:$C$101,A28)+COUNTIF('Functional Reqs'!$D$2:$D$101,A28))</f>
      </c>
      <c r="G28" s="6">
        <f>IF(A28="","",COUNTIFS('Functional Reqs'!$C$2:$C$101,A28,'Functional Reqs'!$J$2:$J$101,"Failing")+COUNTIFS('Functional Reqs'!$D$2:$D$101,A28,'Functional Reqs'!$J$2:$J$101,"Failing"))</f>
      </c>
      <c r="H28" s="6">
        <f>IF(A28="","",COUNTIFS('Functional Reqs'!$C$2:$C$101,A28,'Functional Reqs'!$J$2:$J$101,"No tests")+COUNTIFS('Functional Reqs'!$D$2:$D$101,A28,'Functional Reqs'!$J$2:$J$101,"No tests")+COUNTIFS('Functional Reqs'!$C$2:$C$101,A28,'Functional Reqs'!$J$2:$J$101,"Not run yet")+COUNTIFS('Functional Reqs'!$D$2:$D$101,A28,'Functional Reqs'!$J$2:$J$101,"Not run yet"))</f>
      </c>
      <c r="I28" s="6">
        <f>IF(A28="","",IF(F28=0,"Not traced",IF(G28&gt;0,"Failing",IF(H28&gt;0,"Gaps","Fully tested"))))</f>
      </c>
    </row>
    <row r="29">
      <c r="A29" s="5"/>
      <c r="B29" s="5"/>
      <c r="C29" s="5"/>
      <c r="D29" s="5"/>
      <c r="E29" s="5"/>
      <c r="F29" s="6">
        <f>IF(A29="","",COUNTIF('Functional Reqs'!$C$2:$C$101,A29)+COUNTIF('Functional Reqs'!$D$2:$D$101,A29))</f>
      </c>
      <c r="G29" s="6">
        <f>IF(A29="","",COUNTIFS('Functional Reqs'!$C$2:$C$101,A29,'Functional Reqs'!$J$2:$J$101,"Failing")+COUNTIFS('Functional Reqs'!$D$2:$D$101,A29,'Functional Reqs'!$J$2:$J$101,"Failing"))</f>
      </c>
      <c r="H29" s="6">
        <f>IF(A29="","",COUNTIFS('Functional Reqs'!$C$2:$C$101,A29,'Functional Reqs'!$J$2:$J$101,"No tests")+COUNTIFS('Functional Reqs'!$D$2:$D$101,A29,'Functional Reqs'!$J$2:$J$101,"No tests")+COUNTIFS('Functional Reqs'!$C$2:$C$101,A29,'Functional Reqs'!$J$2:$J$101,"Not run yet")+COUNTIFS('Functional Reqs'!$D$2:$D$101,A29,'Functional Reqs'!$J$2:$J$101,"Not run yet"))</f>
      </c>
      <c r="I29" s="6">
        <f>IF(A29="","",IF(F29=0,"Not traced",IF(G29&gt;0,"Failing",IF(H29&gt;0,"Gaps","Fully tested"))))</f>
      </c>
    </row>
    <row r="30">
      <c r="A30" s="5"/>
      <c r="B30" s="5"/>
      <c r="C30" s="5"/>
      <c r="D30" s="5"/>
      <c r="E30" s="5"/>
      <c r="F30" s="6">
        <f>IF(A30="","",COUNTIF('Functional Reqs'!$C$2:$C$101,A30)+COUNTIF('Functional Reqs'!$D$2:$D$101,A30))</f>
      </c>
      <c r="G30" s="6">
        <f>IF(A30="","",COUNTIFS('Functional Reqs'!$C$2:$C$101,A30,'Functional Reqs'!$J$2:$J$101,"Failing")+COUNTIFS('Functional Reqs'!$D$2:$D$101,A30,'Functional Reqs'!$J$2:$J$101,"Failing"))</f>
      </c>
      <c r="H30" s="6">
        <f>IF(A30="","",COUNTIFS('Functional Reqs'!$C$2:$C$101,A30,'Functional Reqs'!$J$2:$J$101,"No tests")+COUNTIFS('Functional Reqs'!$D$2:$D$101,A30,'Functional Reqs'!$J$2:$J$101,"No tests")+COUNTIFS('Functional Reqs'!$C$2:$C$101,A30,'Functional Reqs'!$J$2:$J$101,"Not run yet")+COUNTIFS('Functional Reqs'!$D$2:$D$101,A30,'Functional Reqs'!$J$2:$J$101,"Not run yet"))</f>
      </c>
      <c r="I30" s="6">
        <f>IF(A30="","",IF(F30=0,"Not traced",IF(G30&gt;0,"Failing",IF(H30&gt;0,"Gaps","Fully tested"))))</f>
      </c>
    </row>
    <row r="31">
      <c r="A31" s="5"/>
      <c r="B31" s="5"/>
      <c r="C31" s="5"/>
      <c r="D31" s="5"/>
      <c r="E31" s="5"/>
      <c r="F31" s="6">
        <f>IF(A31="","",COUNTIF('Functional Reqs'!$C$2:$C$101,A31)+COUNTIF('Functional Reqs'!$D$2:$D$101,A31))</f>
      </c>
      <c r="G31" s="6">
        <f>IF(A31="","",COUNTIFS('Functional Reqs'!$C$2:$C$101,A31,'Functional Reqs'!$J$2:$J$101,"Failing")+COUNTIFS('Functional Reqs'!$D$2:$D$101,A31,'Functional Reqs'!$J$2:$J$101,"Failing"))</f>
      </c>
      <c r="H31" s="6">
        <f>IF(A31="","",COUNTIFS('Functional Reqs'!$C$2:$C$101,A31,'Functional Reqs'!$J$2:$J$101,"No tests")+COUNTIFS('Functional Reqs'!$D$2:$D$101,A31,'Functional Reqs'!$J$2:$J$101,"No tests")+COUNTIFS('Functional Reqs'!$C$2:$C$101,A31,'Functional Reqs'!$J$2:$J$101,"Not run yet")+COUNTIFS('Functional Reqs'!$D$2:$D$101,A31,'Functional Reqs'!$J$2:$J$101,"Not run yet"))</f>
      </c>
      <c r="I31" s="6">
        <f>IF(A31="","",IF(F31=0,"Not traced",IF(G31&gt;0,"Failing",IF(H31&gt;0,"Gaps","Fully tested"))))</f>
      </c>
    </row>
    <row r="32">
      <c r="A32" s="5"/>
      <c r="B32" s="5"/>
      <c r="C32" s="5"/>
      <c r="D32" s="5"/>
      <c r="E32" s="5"/>
      <c r="F32" s="6">
        <f>IF(A32="","",COUNTIF('Functional Reqs'!$C$2:$C$101,A32)+COUNTIF('Functional Reqs'!$D$2:$D$101,A32))</f>
      </c>
      <c r="G32" s="6">
        <f>IF(A32="","",COUNTIFS('Functional Reqs'!$C$2:$C$101,A32,'Functional Reqs'!$J$2:$J$101,"Failing")+COUNTIFS('Functional Reqs'!$D$2:$D$101,A32,'Functional Reqs'!$J$2:$J$101,"Failing"))</f>
      </c>
      <c r="H32" s="6">
        <f>IF(A32="","",COUNTIFS('Functional Reqs'!$C$2:$C$101,A32,'Functional Reqs'!$J$2:$J$101,"No tests")+COUNTIFS('Functional Reqs'!$D$2:$D$101,A32,'Functional Reqs'!$J$2:$J$101,"No tests")+COUNTIFS('Functional Reqs'!$C$2:$C$101,A32,'Functional Reqs'!$J$2:$J$101,"Not run yet")+COUNTIFS('Functional Reqs'!$D$2:$D$101,A32,'Functional Reqs'!$J$2:$J$101,"Not run yet"))</f>
      </c>
      <c r="I32" s="6">
        <f>IF(A32="","",IF(F32=0,"Not traced",IF(G32&gt;0,"Failing",IF(H32&gt;0,"Gaps","Fully tested"))))</f>
      </c>
    </row>
    <row r="33">
      <c r="A33" s="5"/>
      <c r="B33" s="5"/>
      <c r="C33" s="5"/>
      <c r="D33" s="5"/>
      <c r="E33" s="5"/>
      <c r="F33" s="6">
        <f>IF(A33="","",COUNTIF('Functional Reqs'!$C$2:$C$101,A33)+COUNTIF('Functional Reqs'!$D$2:$D$101,A33))</f>
      </c>
      <c r="G33" s="6">
        <f>IF(A33="","",COUNTIFS('Functional Reqs'!$C$2:$C$101,A33,'Functional Reqs'!$J$2:$J$101,"Failing")+COUNTIFS('Functional Reqs'!$D$2:$D$101,A33,'Functional Reqs'!$J$2:$J$101,"Failing"))</f>
      </c>
      <c r="H33" s="6">
        <f>IF(A33="","",COUNTIFS('Functional Reqs'!$C$2:$C$101,A33,'Functional Reqs'!$J$2:$J$101,"No tests")+COUNTIFS('Functional Reqs'!$D$2:$D$101,A33,'Functional Reqs'!$J$2:$J$101,"No tests")+COUNTIFS('Functional Reqs'!$C$2:$C$101,A33,'Functional Reqs'!$J$2:$J$101,"Not run yet")+COUNTIFS('Functional Reqs'!$D$2:$D$101,A33,'Functional Reqs'!$J$2:$J$101,"Not run yet"))</f>
      </c>
      <c r="I33" s="6">
        <f>IF(A33="","",IF(F33=0,"Not traced",IF(G33&gt;0,"Failing",IF(H33&gt;0,"Gaps","Fully tested"))))</f>
      </c>
    </row>
    <row r="34">
      <c r="A34" s="5"/>
      <c r="B34" s="5"/>
      <c r="C34" s="5"/>
      <c r="D34" s="5"/>
      <c r="E34" s="5"/>
      <c r="F34" s="6">
        <f>IF(A34="","",COUNTIF('Functional Reqs'!$C$2:$C$101,A34)+COUNTIF('Functional Reqs'!$D$2:$D$101,A34))</f>
      </c>
      <c r="G34" s="6">
        <f>IF(A34="","",COUNTIFS('Functional Reqs'!$C$2:$C$101,A34,'Functional Reqs'!$J$2:$J$101,"Failing")+COUNTIFS('Functional Reqs'!$D$2:$D$101,A34,'Functional Reqs'!$J$2:$J$101,"Failing"))</f>
      </c>
      <c r="H34" s="6">
        <f>IF(A34="","",COUNTIFS('Functional Reqs'!$C$2:$C$101,A34,'Functional Reqs'!$J$2:$J$101,"No tests")+COUNTIFS('Functional Reqs'!$D$2:$D$101,A34,'Functional Reqs'!$J$2:$J$101,"No tests")+COUNTIFS('Functional Reqs'!$C$2:$C$101,A34,'Functional Reqs'!$J$2:$J$101,"Not run yet")+COUNTIFS('Functional Reqs'!$D$2:$D$101,A34,'Functional Reqs'!$J$2:$J$101,"Not run yet"))</f>
      </c>
      <c r="I34" s="6">
        <f>IF(A34="","",IF(F34=0,"Not traced",IF(G34&gt;0,"Failing",IF(H34&gt;0,"Gaps","Fully tested"))))</f>
      </c>
    </row>
    <row r="35">
      <c r="A35" s="5"/>
      <c r="B35" s="5"/>
      <c r="C35" s="5"/>
      <c r="D35" s="5"/>
      <c r="E35" s="5"/>
      <c r="F35" s="6">
        <f>IF(A35="","",COUNTIF('Functional Reqs'!$C$2:$C$101,A35)+COUNTIF('Functional Reqs'!$D$2:$D$101,A35))</f>
      </c>
      <c r="G35" s="6">
        <f>IF(A35="","",COUNTIFS('Functional Reqs'!$C$2:$C$101,A35,'Functional Reqs'!$J$2:$J$101,"Failing")+COUNTIFS('Functional Reqs'!$D$2:$D$101,A35,'Functional Reqs'!$J$2:$J$101,"Failing"))</f>
      </c>
      <c r="H35" s="6">
        <f>IF(A35="","",COUNTIFS('Functional Reqs'!$C$2:$C$101,A35,'Functional Reqs'!$J$2:$J$101,"No tests")+COUNTIFS('Functional Reqs'!$D$2:$D$101,A35,'Functional Reqs'!$J$2:$J$101,"No tests")+COUNTIFS('Functional Reqs'!$C$2:$C$101,A35,'Functional Reqs'!$J$2:$J$101,"Not run yet")+COUNTIFS('Functional Reqs'!$D$2:$D$101,A35,'Functional Reqs'!$J$2:$J$101,"Not run yet"))</f>
      </c>
      <c r="I35" s="6">
        <f>IF(A35="","",IF(F35=0,"Not traced",IF(G35&gt;0,"Failing",IF(H35&gt;0,"Gaps","Fully tested"))))</f>
      </c>
    </row>
    <row r="36">
      <c r="A36" s="5"/>
      <c r="B36" s="5"/>
      <c r="C36" s="5"/>
      <c r="D36" s="5"/>
      <c r="E36" s="5"/>
      <c r="F36" s="6">
        <f>IF(A36="","",COUNTIF('Functional Reqs'!$C$2:$C$101,A36)+COUNTIF('Functional Reqs'!$D$2:$D$101,A36))</f>
      </c>
      <c r="G36" s="6">
        <f>IF(A36="","",COUNTIFS('Functional Reqs'!$C$2:$C$101,A36,'Functional Reqs'!$J$2:$J$101,"Failing")+COUNTIFS('Functional Reqs'!$D$2:$D$101,A36,'Functional Reqs'!$J$2:$J$101,"Failing"))</f>
      </c>
      <c r="H36" s="6">
        <f>IF(A36="","",COUNTIFS('Functional Reqs'!$C$2:$C$101,A36,'Functional Reqs'!$J$2:$J$101,"No tests")+COUNTIFS('Functional Reqs'!$D$2:$D$101,A36,'Functional Reqs'!$J$2:$J$101,"No tests")+COUNTIFS('Functional Reqs'!$C$2:$C$101,A36,'Functional Reqs'!$J$2:$J$101,"Not run yet")+COUNTIFS('Functional Reqs'!$D$2:$D$101,A36,'Functional Reqs'!$J$2:$J$101,"Not run yet"))</f>
      </c>
      <c r="I36" s="6">
        <f>IF(A36="","",IF(F36=0,"Not traced",IF(G36&gt;0,"Failing",IF(H36&gt;0,"Gaps","Fully tested"))))</f>
      </c>
    </row>
    <row r="37">
      <c r="A37" s="5"/>
      <c r="B37" s="5"/>
      <c r="C37" s="5"/>
      <c r="D37" s="5"/>
      <c r="E37" s="5"/>
      <c r="F37" s="6">
        <f>IF(A37="","",COUNTIF('Functional Reqs'!$C$2:$C$101,A37)+COUNTIF('Functional Reqs'!$D$2:$D$101,A37))</f>
      </c>
      <c r="G37" s="6">
        <f>IF(A37="","",COUNTIFS('Functional Reqs'!$C$2:$C$101,A37,'Functional Reqs'!$J$2:$J$101,"Failing")+COUNTIFS('Functional Reqs'!$D$2:$D$101,A37,'Functional Reqs'!$J$2:$J$101,"Failing"))</f>
      </c>
      <c r="H37" s="6">
        <f>IF(A37="","",COUNTIFS('Functional Reqs'!$C$2:$C$101,A37,'Functional Reqs'!$J$2:$J$101,"No tests")+COUNTIFS('Functional Reqs'!$D$2:$D$101,A37,'Functional Reqs'!$J$2:$J$101,"No tests")+COUNTIFS('Functional Reqs'!$C$2:$C$101,A37,'Functional Reqs'!$J$2:$J$101,"Not run yet")+COUNTIFS('Functional Reqs'!$D$2:$D$101,A37,'Functional Reqs'!$J$2:$J$101,"Not run yet"))</f>
      </c>
      <c r="I37" s="6">
        <f>IF(A37="","",IF(F37=0,"Not traced",IF(G37&gt;0,"Failing",IF(H37&gt;0,"Gaps","Fully tested"))))</f>
      </c>
    </row>
    <row r="38">
      <c r="A38" s="5"/>
      <c r="B38" s="5"/>
      <c r="C38" s="5"/>
      <c r="D38" s="5"/>
      <c r="E38" s="5"/>
      <c r="F38" s="6">
        <f>IF(A38="","",COUNTIF('Functional Reqs'!$C$2:$C$101,A38)+COUNTIF('Functional Reqs'!$D$2:$D$101,A38))</f>
      </c>
      <c r="G38" s="6">
        <f>IF(A38="","",COUNTIFS('Functional Reqs'!$C$2:$C$101,A38,'Functional Reqs'!$J$2:$J$101,"Failing")+COUNTIFS('Functional Reqs'!$D$2:$D$101,A38,'Functional Reqs'!$J$2:$J$101,"Failing"))</f>
      </c>
      <c r="H38" s="6">
        <f>IF(A38="","",COUNTIFS('Functional Reqs'!$C$2:$C$101,A38,'Functional Reqs'!$J$2:$J$101,"No tests")+COUNTIFS('Functional Reqs'!$D$2:$D$101,A38,'Functional Reqs'!$J$2:$J$101,"No tests")+COUNTIFS('Functional Reqs'!$C$2:$C$101,A38,'Functional Reqs'!$J$2:$J$101,"Not run yet")+COUNTIFS('Functional Reqs'!$D$2:$D$101,A38,'Functional Reqs'!$J$2:$J$101,"Not run yet"))</f>
      </c>
      <c r="I38" s="6">
        <f>IF(A38="","",IF(F38=0,"Not traced",IF(G38&gt;0,"Failing",IF(H38&gt;0,"Gaps","Fully tested"))))</f>
      </c>
    </row>
    <row r="39">
      <c r="A39" s="5"/>
      <c r="B39" s="5"/>
      <c r="C39" s="5"/>
      <c r="D39" s="5"/>
      <c r="E39" s="5"/>
      <c r="F39" s="6">
        <f>IF(A39="","",COUNTIF('Functional Reqs'!$C$2:$C$101,A39)+COUNTIF('Functional Reqs'!$D$2:$D$101,A39))</f>
      </c>
      <c r="G39" s="6">
        <f>IF(A39="","",COUNTIFS('Functional Reqs'!$C$2:$C$101,A39,'Functional Reqs'!$J$2:$J$101,"Failing")+COUNTIFS('Functional Reqs'!$D$2:$D$101,A39,'Functional Reqs'!$J$2:$J$101,"Failing"))</f>
      </c>
      <c r="H39" s="6">
        <f>IF(A39="","",COUNTIFS('Functional Reqs'!$C$2:$C$101,A39,'Functional Reqs'!$J$2:$J$101,"No tests")+COUNTIFS('Functional Reqs'!$D$2:$D$101,A39,'Functional Reqs'!$J$2:$J$101,"No tests")+COUNTIFS('Functional Reqs'!$C$2:$C$101,A39,'Functional Reqs'!$J$2:$J$101,"Not run yet")+COUNTIFS('Functional Reqs'!$D$2:$D$101,A39,'Functional Reqs'!$J$2:$J$101,"Not run yet"))</f>
      </c>
      <c r="I39" s="6">
        <f>IF(A39="","",IF(F39=0,"Not traced",IF(G39&gt;0,"Failing",IF(H39&gt;0,"Gaps","Fully tested"))))</f>
      </c>
    </row>
    <row r="40">
      <c r="A40" s="5"/>
      <c r="B40" s="5"/>
      <c r="C40" s="5"/>
      <c r="D40" s="5"/>
      <c r="E40" s="5"/>
      <c r="F40" s="6">
        <f>IF(A40="","",COUNTIF('Functional Reqs'!$C$2:$C$101,A40)+COUNTIF('Functional Reqs'!$D$2:$D$101,A40))</f>
      </c>
      <c r="G40" s="6">
        <f>IF(A40="","",COUNTIFS('Functional Reqs'!$C$2:$C$101,A40,'Functional Reqs'!$J$2:$J$101,"Failing")+COUNTIFS('Functional Reqs'!$D$2:$D$101,A40,'Functional Reqs'!$J$2:$J$101,"Failing"))</f>
      </c>
      <c r="H40" s="6">
        <f>IF(A40="","",COUNTIFS('Functional Reqs'!$C$2:$C$101,A40,'Functional Reqs'!$J$2:$J$101,"No tests")+COUNTIFS('Functional Reqs'!$D$2:$D$101,A40,'Functional Reqs'!$J$2:$J$101,"No tests")+COUNTIFS('Functional Reqs'!$C$2:$C$101,A40,'Functional Reqs'!$J$2:$J$101,"Not run yet")+COUNTIFS('Functional Reqs'!$D$2:$D$101,A40,'Functional Reqs'!$J$2:$J$101,"Not run yet"))</f>
      </c>
      <c r="I40" s="6">
        <f>IF(A40="","",IF(F40=0,"Not traced",IF(G40&gt;0,"Failing",IF(H40&gt;0,"Gaps","Fully tested"))))</f>
      </c>
    </row>
    <row r="41">
      <c r="A41" s="5"/>
      <c r="B41" s="5"/>
      <c r="C41" s="5"/>
      <c r="D41" s="5"/>
      <c r="E41" s="5"/>
      <c r="F41" s="6">
        <f>IF(A41="","",COUNTIF('Functional Reqs'!$C$2:$C$101,A41)+COUNTIF('Functional Reqs'!$D$2:$D$101,A41))</f>
      </c>
      <c r="G41" s="6">
        <f>IF(A41="","",COUNTIFS('Functional Reqs'!$C$2:$C$101,A41,'Functional Reqs'!$J$2:$J$101,"Failing")+COUNTIFS('Functional Reqs'!$D$2:$D$101,A41,'Functional Reqs'!$J$2:$J$101,"Failing"))</f>
      </c>
      <c r="H41" s="6">
        <f>IF(A41="","",COUNTIFS('Functional Reqs'!$C$2:$C$101,A41,'Functional Reqs'!$J$2:$J$101,"No tests")+COUNTIFS('Functional Reqs'!$D$2:$D$101,A41,'Functional Reqs'!$J$2:$J$101,"No tests")+COUNTIFS('Functional Reqs'!$C$2:$C$101,A41,'Functional Reqs'!$J$2:$J$101,"Not run yet")+COUNTIFS('Functional Reqs'!$D$2:$D$101,A41,'Functional Reqs'!$J$2:$J$101,"Not run yet"))</f>
      </c>
      <c r="I41" s="6">
        <f>IF(A41="","",IF(F41=0,"Not traced",IF(G41&gt;0,"Failing",IF(H41&gt;0,"Gaps","Fully tested"))))</f>
      </c>
    </row>
    <row r="42">
      <c r="A42" s="5"/>
      <c r="B42" s="5"/>
      <c r="C42" s="5"/>
      <c r="D42" s="5"/>
      <c r="E42" s="5"/>
      <c r="F42" s="6">
        <f>IF(A42="","",COUNTIF('Functional Reqs'!$C$2:$C$101,A42)+COUNTIF('Functional Reqs'!$D$2:$D$101,A42))</f>
      </c>
      <c r="G42" s="6">
        <f>IF(A42="","",COUNTIFS('Functional Reqs'!$C$2:$C$101,A42,'Functional Reqs'!$J$2:$J$101,"Failing")+COUNTIFS('Functional Reqs'!$D$2:$D$101,A42,'Functional Reqs'!$J$2:$J$101,"Failing"))</f>
      </c>
      <c r="H42" s="6">
        <f>IF(A42="","",COUNTIFS('Functional Reqs'!$C$2:$C$101,A42,'Functional Reqs'!$J$2:$J$101,"No tests")+COUNTIFS('Functional Reqs'!$D$2:$D$101,A42,'Functional Reqs'!$J$2:$J$101,"No tests")+COUNTIFS('Functional Reqs'!$C$2:$C$101,A42,'Functional Reqs'!$J$2:$J$101,"Not run yet")+COUNTIFS('Functional Reqs'!$D$2:$D$101,A42,'Functional Reqs'!$J$2:$J$101,"Not run yet"))</f>
      </c>
      <c r="I42" s="6">
        <f>IF(A42="","",IF(F42=0,"Not traced",IF(G42&gt;0,"Failing",IF(H42&gt;0,"Gaps","Fully tested"))))</f>
      </c>
    </row>
    <row r="43">
      <c r="A43" s="5"/>
      <c r="B43" s="5"/>
      <c r="C43" s="5"/>
      <c r="D43" s="5"/>
      <c r="E43" s="5"/>
      <c r="F43" s="6">
        <f>IF(A43="","",COUNTIF('Functional Reqs'!$C$2:$C$101,A43)+COUNTIF('Functional Reqs'!$D$2:$D$101,A43))</f>
      </c>
      <c r="G43" s="6">
        <f>IF(A43="","",COUNTIFS('Functional Reqs'!$C$2:$C$101,A43,'Functional Reqs'!$J$2:$J$101,"Failing")+COUNTIFS('Functional Reqs'!$D$2:$D$101,A43,'Functional Reqs'!$J$2:$J$101,"Failing"))</f>
      </c>
      <c r="H43" s="6">
        <f>IF(A43="","",COUNTIFS('Functional Reqs'!$C$2:$C$101,A43,'Functional Reqs'!$J$2:$J$101,"No tests")+COUNTIFS('Functional Reqs'!$D$2:$D$101,A43,'Functional Reqs'!$J$2:$J$101,"No tests")+COUNTIFS('Functional Reqs'!$C$2:$C$101,A43,'Functional Reqs'!$J$2:$J$101,"Not run yet")+COUNTIFS('Functional Reqs'!$D$2:$D$101,A43,'Functional Reqs'!$J$2:$J$101,"Not run yet"))</f>
      </c>
      <c r="I43" s="6">
        <f>IF(A43="","",IF(F43=0,"Not traced",IF(G43&gt;0,"Failing",IF(H43&gt;0,"Gaps","Fully tested"))))</f>
      </c>
    </row>
    <row r="44">
      <c r="A44" s="5"/>
      <c r="B44" s="5"/>
      <c r="C44" s="5"/>
      <c r="D44" s="5"/>
      <c r="E44" s="5"/>
      <c r="F44" s="6">
        <f>IF(A44="","",COUNTIF('Functional Reqs'!$C$2:$C$101,A44)+COUNTIF('Functional Reqs'!$D$2:$D$101,A44))</f>
      </c>
      <c r="G44" s="6">
        <f>IF(A44="","",COUNTIFS('Functional Reqs'!$C$2:$C$101,A44,'Functional Reqs'!$J$2:$J$101,"Failing")+COUNTIFS('Functional Reqs'!$D$2:$D$101,A44,'Functional Reqs'!$J$2:$J$101,"Failing"))</f>
      </c>
      <c r="H44" s="6">
        <f>IF(A44="","",COUNTIFS('Functional Reqs'!$C$2:$C$101,A44,'Functional Reqs'!$J$2:$J$101,"No tests")+COUNTIFS('Functional Reqs'!$D$2:$D$101,A44,'Functional Reqs'!$J$2:$J$101,"No tests")+COUNTIFS('Functional Reqs'!$C$2:$C$101,A44,'Functional Reqs'!$J$2:$J$101,"Not run yet")+COUNTIFS('Functional Reqs'!$D$2:$D$101,A44,'Functional Reqs'!$J$2:$J$101,"Not run yet"))</f>
      </c>
      <c r="I44" s="6">
        <f>IF(A44="","",IF(F44=0,"Not traced",IF(G44&gt;0,"Failing",IF(H44&gt;0,"Gaps","Fully tested"))))</f>
      </c>
    </row>
    <row r="45">
      <c r="A45" s="5"/>
      <c r="B45" s="5"/>
      <c r="C45" s="5"/>
      <c r="D45" s="5"/>
      <c r="E45" s="5"/>
      <c r="F45" s="6">
        <f>IF(A45="","",COUNTIF('Functional Reqs'!$C$2:$C$101,A45)+COUNTIF('Functional Reqs'!$D$2:$D$101,A45))</f>
      </c>
      <c r="G45" s="6">
        <f>IF(A45="","",COUNTIFS('Functional Reqs'!$C$2:$C$101,A45,'Functional Reqs'!$J$2:$J$101,"Failing")+COUNTIFS('Functional Reqs'!$D$2:$D$101,A45,'Functional Reqs'!$J$2:$J$101,"Failing"))</f>
      </c>
      <c r="H45" s="6">
        <f>IF(A45="","",COUNTIFS('Functional Reqs'!$C$2:$C$101,A45,'Functional Reqs'!$J$2:$J$101,"No tests")+COUNTIFS('Functional Reqs'!$D$2:$D$101,A45,'Functional Reqs'!$J$2:$J$101,"No tests")+COUNTIFS('Functional Reqs'!$C$2:$C$101,A45,'Functional Reqs'!$J$2:$J$101,"Not run yet")+COUNTIFS('Functional Reqs'!$D$2:$D$101,A45,'Functional Reqs'!$J$2:$J$101,"Not run yet"))</f>
      </c>
      <c r="I45" s="6">
        <f>IF(A45="","",IF(F45=0,"Not traced",IF(G45&gt;0,"Failing",IF(H45&gt;0,"Gaps","Fully tested"))))</f>
      </c>
    </row>
    <row r="46">
      <c r="A46" s="5"/>
      <c r="B46" s="5"/>
      <c r="C46" s="5"/>
      <c r="D46" s="5"/>
      <c r="E46" s="5"/>
      <c r="F46" s="6">
        <f>IF(A46="","",COUNTIF('Functional Reqs'!$C$2:$C$101,A46)+COUNTIF('Functional Reqs'!$D$2:$D$101,A46))</f>
      </c>
      <c r="G46" s="6">
        <f>IF(A46="","",COUNTIFS('Functional Reqs'!$C$2:$C$101,A46,'Functional Reqs'!$J$2:$J$101,"Failing")+COUNTIFS('Functional Reqs'!$D$2:$D$101,A46,'Functional Reqs'!$J$2:$J$101,"Failing"))</f>
      </c>
      <c r="H46" s="6">
        <f>IF(A46="","",COUNTIFS('Functional Reqs'!$C$2:$C$101,A46,'Functional Reqs'!$J$2:$J$101,"No tests")+COUNTIFS('Functional Reqs'!$D$2:$D$101,A46,'Functional Reqs'!$J$2:$J$101,"No tests")+COUNTIFS('Functional Reqs'!$C$2:$C$101,A46,'Functional Reqs'!$J$2:$J$101,"Not run yet")+COUNTIFS('Functional Reqs'!$D$2:$D$101,A46,'Functional Reqs'!$J$2:$J$101,"Not run yet"))</f>
      </c>
      <c r="I46" s="6">
        <f>IF(A46="","",IF(F46=0,"Not traced",IF(G46&gt;0,"Failing",IF(H46&gt;0,"Gaps","Fully tested"))))</f>
      </c>
    </row>
    <row r="47">
      <c r="A47" s="5"/>
      <c r="B47" s="5"/>
      <c r="C47" s="5"/>
      <c r="D47" s="5"/>
      <c r="E47" s="5"/>
      <c r="F47" s="6">
        <f>IF(A47="","",COUNTIF('Functional Reqs'!$C$2:$C$101,A47)+COUNTIF('Functional Reqs'!$D$2:$D$101,A47))</f>
      </c>
      <c r="G47" s="6">
        <f>IF(A47="","",COUNTIFS('Functional Reqs'!$C$2:$C$101,A47,'Functional Reqs'!$J$2:$J$101,"Failing")+COUNTIFS('Functional Reqs'!$D$2:$D$101,A47,'Functional Reqs'!$J$2:$J$101,"Failing"))</f>
      </c>
      <c r="H47" s="6">
        <f>IF(A47="","",COUNTIFS('Functional Reqs'!$C$2:$C$101,A47,'Functional Reqs'!$J$2:$J$101,"No tests")+COUNTIFS('Functional Reqs'!$D$2:$D$101,A47,'Functional Reqs'!$J$2:$J$101,"No tests")+COUNTIFS('Functional Reqs'!$C$2:$C$101,A47,'Functional Reqs'!$J$2:$J$101,"Not run yet")+COUNTIFS('Functional Reqs'!$D$2:$D$101,A47,'Functional Reqs'!$J$2:$J$101,"Not run yet"))</f>
      </c>
      <c r="I47" s="6">
        <f>IF(A47="","",IF(F47=0,"Not traced",IF(G47&gt;0,"Failing",IF(H47&gt;0,"Gaps","Fully tested"))))</f>
      </c>
    </row>
    <row r="48">
      <c r="A48" s="5"/>
      <c r="B48" s="5"/>
      <c r="C48" s="5"/>
      <c r="D48" s="5"/>
      <c r="E48" s="5"/>
      <c r="F48" s="6">
        <f>IF(A48="","",COUNTIF('Functional Reqs'!$C$2:$C$101,A48)+COUNTIF('Functional Reqs'!$D$2:$D$101,A48))</f>
      </c>
      <c r="G48" s="6">
        <f>IF(A48="","",COUNTIFS('Functional Reqs'!$C$2:$C$101,A48,'Functional Reqs'!$J$2:$J$101,"Failing")+COUNTIFS('Functional Reqs'!$D$2:$D$101,A48,'Functional Reqs'!$J$2:$J$101,"Failing"))</f>
      </c>
      <c r="H48" s="6">
        <f>IF(A48="","",COUNTIFS('Functional Reqs'!$C$2:$C$101,A48,'Functional Reqs'!$J$2:$J$101,"No tests")+COUNTIFS('Functional Reqs'!$D$2:$D$101,A48,'Functional Reqs'!$J$2:$J$101,"No tests")+COUNTIFS('Functional Reqs'!$C$2:$C$101,A48,'Functional Reqs'!$J$2:$J$101,"Not run yet")+COUNTIFS('Functional Reqs'!$D$2:$D$101,A48,'Functional Reqs'!$J$2:$J$101,"Not run yet"))</f>
      </c>
      <c r="I48" s="6">
        <f>IF(A48="","",IF(F48=0,"Not traced",IF(G48&gt;0,"Failing",IF(H48&gt;0,"Gaps","Fully tested"))))</f>
      </c>
    </row>
    <row r="49">
      <c r="A49" s="5"/>
      <c r="B49" s="5"/>
      <c r="C49" s="5"/>
      <c r="D49" s="5"/>
      <c r="E49" s="5"/>
      <c r="F49" s="6">
        <f>IF(A49="","",COUNTIF('Functional Reqs'!$C$2:$C$101,A49)+COUNTIF('Functional Reqs'!$D$2:$D$101,A49))</f>
      </c>
      <c r="G49" s="6">
        <f>IF(A49="","",COUNTIFS('Functional Reqs'!$C$2:$C$101,A49,'Functional Reqs'!$J$2:$J$101,"Failing")+COUNTIFS('Functional Reqs'!$D$2:$D$101,A49,'Functional Reqs'!$J$2:$J$101,"Failing"))</f>
      </c>
      <c r="H49" s="6">
        <f>IF(A49="","",COUNTIFS('Functional Reqs'!$C$2:$C$101,A49,'Functional Reqs'!$J$2:$J$101,"No tests")+COUNTIFS('Functional Reqs'!$D$2:$D$101,A49,'Functional Reqs'!$J$2:$J$101,"No tests")+COUNTIFS('Functional Reqs'!$C$2:$C$101,A49,'Functional Reqs'!$J$2:$J$101,"Not run yet")+COUNTIFS('Functional Reqs'!$D$2:$D$101,A49,'Functional Reqs'!$J$2:$J$101,"Not run yet"))</f>
      </c>
      <c r="I49" s="6">
        <f>IF(A49="","",IF(F49=0,"Not traced",IF(G49&gt;0,"Failing",IF(H49&gt;0,"Gaps","Fully tested"))))</f>
      </c>
    </row>
    <row r="50">
      <c r="A50" s="5"/>
      <c r="B50" s="5"/>
      <c r="C50" s="5"/>
      <c r="D50" s="5"/>
      <c r="E50" s="5"/>
      <c r="F50" s="6">
        <f>IF(A50="","",COUNTIF('Functional Reqs'!$C$2:$C$101,A50)+COUNTIF('Functional Reqs'!$D$2:$D$101,A50))</f>
      </c>
      <c r="G50" s="6">
        <f>IF(A50="","",COUNTIFS('Functional Reqs'!$C$2:$C$101,A50,'Functional Reqs'!$J$2:$J$101,"Failing")+COUNTIFS('Functional Reqs'!$D$2:$D$101,A50,'Functional Reqs'!$J$2:$J$101,"Failing"))</f>
      </c>
      <c r="H50" s="6">
        <f>IF(A50="","",COUNTIFS('Functional Reqs'!$C$2:$C$101,A50,'Functional Reqs'!$J$2:$J$101,"No tests")+COUNTIFS('Functional Reqs'!$D$2:$D$101,A50,'Functional Reqs'!$J$2:$J$101,"No tests")+COUNTIFS('Functional Reqs'!$C$2:$C$101,A50,'Functional Reqs'!$J$2:$J$101,"Not run yet")+COUNTIFS('Functional Reqs'!$D$2:$D$101,A50,'Functional Reqs'!$J$2:$J$101,"Not run yet"))</f>
      </c>
      <c r="I50" s="6">
        <f>IF(A50="","",IF(F50=0,"Not traced",IF(G50&gt;0,"Failing",IF(H50&gt;0,"Gaps","Fully tested"))))</f>
      </c>
    </row>
    <row r="51">
      <c r="A51" s="5"/>
      <c r="B51" s="5"/>
      <c r="C51" s="5"/>
      <c r="D51" s="5"/>
      <c r="E51" s="5"/>
      <c r="F51" s="6">
        <f>IF(A51="","",COUNTIF('Functional Reqs'!$C$2:$C$101,A51)+COUNTIF('Functional Reqs'!$D$2:$D$101,A51))</f>
      </c>
      <c r="G51" s="6">
        <f>IF(A51="","",COUNTIFS('Functional Reqs'!$C$2:$C$101,A51,'Functional Reqs'!$J$2:$J$101,"Failing")+COUNTIFS('Functional Reqs'!$D$2:$D$101,A51,'Functional Reqs'!$J$2:$J$101,"Failing"))</f>
      </c>
      <c r="H51" s="6">
        <f>IF(A51="","",COUNTIFS('Functional Reqs'!$C$2:$C$101,A51,'Functional Reqs'!$J$2:$J$101,"No tests")+COUNTIFS('Functional Reqs'!$D$2:$D$101,A51,'Functional Reqs'!$J$2:$J$101,"No tests")+COUNTIFS('Functional Reqs'!$C$2:$C$101,A51,'Functional Reqs'!$J$2:$J$101,"Not run yet")+COUNTIFS('Functional Reqs'!$D$2:$D$101,A51,'Functional Reqs'!$J$2:$J$101,"Not run yet"))</f>
      </c>
      <c r="I51" s="6">
        <f>IF(A51="","",IF(F51=0,"Not traced",IF(G51&gt;0,"Failing",IF(H51&gt;0,"Gaps","Fully tested"))))</f>
      </c>
    </row>
    <row r="52">
      <c r="A52" s="5"/>
      <c r="B52" s="5"/>
      <c r="C52" s="5"/>
      <c r="D52" s="5"/>
      <c r="E52" s="5"/>
      <c r="F52" s="6">
        <f>IF(A52="","",COUNTIF('Functional Reqs'!$C$2:$C$101,A52)+COUNTIF('Functional Reqs'!$D$2:$D$101,A52))</f>
      </c>
      <c r="G52" s="6">
        <f>IF(A52="","",COUNTIFS('Functional Reqs'!$C$2:$C$101,A52,'Functional Reqs'!$J$2:$J$101,"Failing")+COUNTIFS('Functional Reqs'!$D$2:$D$101,A52,'Functional Reqs'!$J$2:$J$101,"Failing"))</f>
      </c>
      <c r="H52" s="6">
        <f>IF(A52="","",COUNTIFS('Functional Reqs'!$C$2:$C$101,A52,'Functional Reqs'!$J$2:$J$101,"No tests")+COUNTIFS('Functional Reqs'!$D$2:$D$101,A52,'Functional Reqs'!$J$2:$J$101,"No tests")+COUNTIFS('Functional Reqs'!$C$2:$C$101,A52,'Functional Reqs'!$J$2:$J$101,"Not run yet")+COUNTIFS('Functional Reqs'!$D$2:$D$101,A52,'Functional Reqs'!$J$2:$J$101,"Not run yet"))</f>
      </c>
      <c r="I52" s="6">
        <f>IF(A52="","",IF(F52=0,"Not traced",IF(G52&gt;0,"Failing",IF(H52&gt;0,"Gaps","Fully tested"))))</f>
      </c>
    </row>
    <row r="53">
      <c r="A53" s="5"/>
      <c r="B53" s="5"/>
      <c r="C53" s="5"/>
      <c r="D53" s="5"/>
      <c r="E53" s="5"/>
      <c r="F53" s="6">
        <f>IF(A53="","",COUNTIF('Functional Reqs'!$C$2:$C$101,A53)+COUNTIF('Functional Reqs'!$D$2:$D$101,A53))</f>
      </c>
      <c r="G53" s="6">
        <f>IF(A53="","",COUNTIFS('Functional Reqs'!$C$2:$C$101,A53,'Functional Reqs'!$J$2:$J$101,"Failing")+COUNTIFS('Functional Reqs'!$D$2:$D$101,A53,'Functional Reqs'!$J$2:$J$101,"Failing"))</f>
      </c>
      <c r="H53" s="6">
        <f>IF(A53="","",COUNTIFS('Functional Reqs'!$C$2:$C$101,A53,'Functional Reqs'!$J$2:$J$101,"No tests")+COUNTIFS('Functional Reqs'!$D$2:$D$101,A53,'Functional Reqs'!$J$2:$J$101,"No tests")+COUNTIFS('Functional Reqs'!$C$2:$C$101,A53,'Functional Reqs'!$J$2:$J$101,"Not run yet")+COUNTIFS('Functional Reqs'!$D$2:$D$101,A53,'Functional Reqs'!$J$2:$J$101,"Not run yet"))</f>
      </c>
      <c r="I53" s="6">
        <f>IF(A53="","",IF(F53=0,"Not traced",IF(G53&gt;0,"Failing",IF(H53&gt;0,"Gaps","Fully tested"))))</f>
      </c>
    </row>
    <row r="54">
      <c r="A54" s="5"/>
      <c r="B54" s="5"/>
      <c r="C54" s="5"/>
      <c r="D54" s="5"/>
      <c r="E54" s="5"/>
      <c r="F54" s="6">
        <f>IF(A54="","",COUNTIF('Functional Reqs'!$C$2:$C$101,A54)+COUNTIF('Functional Reqs'!$D$2:$D$101,A54))</f>
      </c>
      <c r="G54" s="6">
        <f>IF(A54="","",COUNTIFS('Functional Reqs'!$C$2:$C$101,A54,'Functional Reqs'!$J$2:$J$101,"Failing")+COUNTIFS('Functional Reqs'!$D$2:$D$101,A54,'Functional Reqs'!$J$2:$J$101,"Failing"))</f>
      </c>
      <c r="H54" s="6">
        <f>IF(A54="","",COUNTIFS('Functional Reqs'!$C$2:$C$101,A54,'Functional Reqs'!$J$2:$J$101,"No tests")+COUNTIFS('Functional Reqs'!$D$2:$D$101,A54,'Functional Reqs'!$J$2:$J$101,"No tests")+COUNTIFS('Functional Reqs'!$C$2:$C$101,A54,'Functional Reqs'!$J$2:$J$101,"Not run yet")+COUNTIFS('Functional Reqs'!$D$2:$D$101,A54,'Functional Reqs'!$J$2:$J$101,"Not run yet"))</f>
      </c>
      <c r="I54" s="6">
        <f>IF(A54="","",IF(F54=0,"Not traced",IF(G54&gt;0,"Failing",IF(H54&gt;0,"Gaps","Fully tested"))))</f>
      </c>
    </row>
    <row r="55">
      <c r="A55" s="5"/>
      <c r="B55" s="5"/>
      <c r="C55" s="5"/>
      <c r="D55" s="5"/>
      <c r="E55" s="5"/>
      <c r="F55" s="6">
        <f>IF(A55="","",COUNTIF('Functional Reqs'!$C$2:$C$101,A55)+COUNTIF('Functional Reqs'!$D$2:$D$101,A55))</f>
      </c>
      <c r="G55" s="6">
        <f>IF(A55="","",COUNTIFS('Functional Reqs'!$C$2:$C$101,A55,'Functional Reqs'!$J$2:$J$101,"Failing")+COUNTIFS('Functional Reqs'!$D$2:$D$101,A55,'Functional Reqs'!$J$2:$J$101,"Failing"))</f>
      </c>
      <c r="H55" s="6">
        <f>IF(A55="","",COUNTIFS('Functional Reqs'!$C$2:$C$101,A55,'Functional Reqs'!$J$2:$J$101,"No tests")+COUNTIFS('Functional Reqs'!$D$2:$D$101,A55,'Functional Reqs'!$J$2:$J$101,"No tests")+COUNTIFS('Functional Reqs'!$C$2:$C$101,A55,'Functional Reqs'!$J$2:$J$101,"Not run yet")+COUNTIFS('Functional Reqs'!$D$2:$D$101,A55,'Functional Reqs'!$J$2:$J$101,"Not run yet"))</f>
      </c>
      <c r="I55" s="6">
        <f>IF(A55="","",IF(F55=0,"Not traced",IF(G55&gt;0,"Failing",IF(H55&gt;0,"Gaps","Fully tested"))))</f>
      </c>
    </row>
    <row r="56">
      <c r="A56" s="5"/>
      <c r="B56" s="5"/>
      <c r="C56" s="5"/>
      <c r="D56" s="5"/>
      <c r="E56" s="5"/>
      <c r="F56" s="6">
        <f>IF(A56="","",COUNTIF('Functional Reqs'!$C$2:$C$101,A56)+COUNTIF('Functional Reqs'!$D$2:$D$101,A56))</f>
      </c>
      <c r="G56" s="6">
        <f>IF(A56="","",COUNTIFS('Functional Reqs'!$C$2:$C$101,A56,'Functional Reqs'!$J$2:$J$101,"Failing")+COUNTIFS('Functional Reqs'!$D$2:$D$101,A56,'Functional Reqs'!$J$2:$J$101,"Failing"))</f>
      </c>
      <c r="H56" s="6">
        <f>IF(A56="","",COUNTIFS('Functional Reqs'!$C$2:$C$101,A56,'Functional Reqs'!$J$2:$J$101,"No tests")+COUNTIFS('Functional Reqs'!$D$2:$D$101,A56,'Functional Reqs'!$J$2:$J$101,"No tests")+COUNTIFS('Functional Reqs'!$C$2:$C$101,A56,'Functional Reqs'!$J$2:$J$101,"Not run yet")+COUNTIFS('Functional Reqs'!$D$2:$D$101,A56,'Functional Reqs'!$J$2:$J$101,"Not run yet"))</f>
      </c>
      <c r="I56" s="6">
        <f>IF(A56="","",IF(F56=0,"Not traced",IF(G56&gt;0,"Failing",IF(H56&gt;0,"Gaps","Fully tested"))))</f>
      </c>
    </row>
    <row r="57">
      <c r="A57" s="5"/>
      <c r="B57" s="5"/>
      <c r="C57" s="5"/>
      <c r="D57" s="5"/>
      <c r="E57" s="5"/>
      <c r="F57" s="6">
        <f>IF(A57="","",COUNTIF('Functional Reqs'!$C$2:$C$101,A57)+COUNTIF('Functional Reqs'!$D$2:$D$101,A57))</f>
      </c>
      <c r="G57" s="6">
        <f>IF(A57="","",COUNTIFS('Functional Reqs'!$C$2:$C$101,A57,'Functional Reqs'!$J$2:$J$101,"Failing")+COUNTIFS('Functional Reqs'!$D$2:$D$101,A57,'Functional Reqs'!$J$2:$J$101,"Failing"))</f>
      </c>
      <c r="H57" s="6">
        <f>IF(A57="","",COUNTIFS('Functional Reqs'!$C$2:$C$101,A57,'Functional Reqs'!$J$2:$J$101,"No tests")+COUNTIFS('Functional Reqs'!$D$2:$D$101,A57,'Functional Reqs'!$J$2:$J$101,"No tests")+COUNTIFS('Functional Reqs'!$C$2:$C$101,A57,'Functional Reqs'!$J$2:$J$101,"Not run yet")+COUNTIFS('Functional Reqs'!$D$2:$D$101,A57,'Functional Reqs'!$J$2:$J$101,"Not run yet"))</f>
      </c>
      <c r="I57" s="6">
        <f>IF(A57="","",IF(F57=0,"Not traced",IF(G57&gt;0,"Failing",IF(H57&gt;0,"Gaps","Fully tested"))))</f>
      </c>
    </row>
    <row r="58">
      <c r="A58" s="5"/>
      <c r="B58" s="5"/>
      <c r="C58" s="5"/>
      <c r="D58" s="5"/>
      <c r="E58" s="5"/>
      <c r="F58" s="6">
        <f>IF(A58="","",COUNTIF('Functional Reqs'!$C$2:$C$101,A58)+COUNTIF('Functional Reqs'!$D$2:$D$101,A58))</f>
      </c>
      <c r="G58" s="6">
        <f>IF(A58="","",COUNTIFS('Functional Reqs'!$C$2:$C$101,A58,'Functional Reqs'!$J$2:$J$101,"Failing")+COUNTIFS('Functional Reqs'!$D$2:$D$101,A58,'Functional Reqs'!$J$2:$J$101,"Failing"))</f>
      </c>
      <c r="H58" s="6">
        <f>IF(A58="","",COUNTIFS('Functional Reqs'!$C$2:$C$101,A58,'Functional Reqs'!$J$2:$J$101,"No tests")+COUNTIFS('Functional Reqs'!$D$2:$D$101,A58,'Functional Reqs'!$J$2:$J$101,"No tests")+COUNTIFS('Functional Reqs'!$C$2:$C$101,A58,'Functional Reqs'!$J$2:$J$101,"Not run yet")+COUNTIFS('Functional Reqs'!$D$2:$D$101,A58,'Functional Reqs'!$J$2:$J$101,"Not run yet"))</f>
      </c>
      <c r="I58" s="6">
        <f>IF(A58="","",IF(F58=0,"Not traced",IF(G58&gt;0,"Failing",IF(H58&gt;0,"Gaps","Fully tested"))))</f>
      </c>
    </row>
    <row r="59">
      <c r="A59" s="5"/>
      <c r="B59" s="5"/>
      <c r="C59" s="5"/>
      <c r="D59" s="5"/>
      <c r="E59" s="5"/>
      <c r="F59" s="6">
        <f>IF(A59="","",COUNTIF('Functional Reqs'!$C$2:$C$101,A59)+COUNTIF('Functional Reqs'!$D$2:$D$101,A59))</f>
      </c>
      <c r="G59" s="6">
        <f>IF(A59="","",COUNTIFS('Functional Reqs'!$C$2:$C$101,A59,'Functional Reqs'!$J$2:$J$101,"Failing")+COUNTIFS('Functional Reqs'!$D$2:$D$101,A59,'Functional Reqs'!$J$2:$J$101,"Failing"))</f>
      </c>
      <c r="H59" s="6">
        <f>IF(A59="","",COUNTIFS('Functional Reqs'!$C$2:$C$101,A59,'Functional Reqs'!$J$2:$J$101,"No tests")+COUNTIFS('Functional Reqs'!$D$2:$D$101,A59,'Functional Reqs'!$J$2:$J$101,"No tests")+COUNTIFS('Functional Reqs'!$C$2:$C$101,A59,'Functional Reqs'!$J$2:$J$101,"Not run yet")+COUNTIFS('Functional Reqs'!$D$2:$D$101,A59,'Functional Reqs'!$J$2:$J$101,"Not run yet"))</f>
      </c>
      <c r="I59" s="6">
        <f>IF(A59="","",IF(F59=0,"Not traced",IF(G59&gt;0,"Failing",IF(H59&gt;0,"Gaps","Fully tested"))))</f>
      </c>
    </row>
    <row r="60">
      <c r="A60" s="5"/>
      <c r="B60" s="5"/>
      <c r="C60" s="5"/>
      <c r="D60" s="5"/>
      <c r="E60" s="5"/>
      <c r="F60" s="6">
        <f>IF(A60="","",COUNTIF('Functional Reqs'!$C$2:$C$101,A60)+COUNTIF('Functional Reqs'!$D$2:$D$101,A60))</f>
      </c>
      <c r="G60" s="6">
        <f>IF(A60="","",COUNTIFS('Functional Reqs'!$C$2:$C$101,A60,'Functional Reqs'!$J$2:$J$101,"Failing")+COUNTIFS('Functional Reqs'!$D$2:$D$101,A60,'Functional Reqs'!$J$2:$J$101,"Failing"))</f>
      </c>
      <c r="H60" s="6">
        <f>IF(A60="","",COUNTIFS('Functional Reqs'!$C$2:$C$101,A60,'Functional Reqs'!$J$2:$J$101,"No tests")+COUNTIFS('Functional Reqs'!$D$2:$D$101,A60,'Functional Reqs'!$J$2:$J$101,"No tests")+COUNTIFS('Functional Reqs'!$C$2:$C$101,A60,'Functional Reqs'!$J$2:$J$101,"Not run yet")+COUNTIFS('Functional Reqs'!$D$2:$D$101,A60,'Functional Reqs'!$J$2:$J$101,"Not run yet"))</f>
      </c>
      <c r="I60" s="6">
        <f>IF(A60="","",IF(F60=0,"Not traced",IF(G60&gt;0,"Failing",IF(H60&gt;0,"Gaps","Fully tested"))))</f>
      </c>
    </row>
    <row r="61">
      <c r="A61" s="5"/>
      <c r="B61" s="5"/>
      <c r="C61" s="5"/>
      <c r="D61" s="5"/>
      <c r="E61" s="5"/>
      <c r="F61" s="6">
        <f>IF(A61="","",COUNTIF('Functional Reqs'!$C$2:$C$101,A61)+COUNTIF('Functional Reqs'!$D$2:$D$101,A61))</f>
      </c>
      <c r="G61" s="6">
        <f>IF(A61="","",COUNTIFS('Functional Reqs'!$C$2:$C$101,A61,'Functional Reqs'!$J$2:$J$101,"Failing")+COUNTIFS('Functional Reqs'!$D$2:$D$101,A61,'Functional Reqs'!$J$2:$J$101,"Failing"))</f>
      </c>
      <c r="H61" s="6">
        <f>IF(A61="","",COUNTIFS('Functional Reqs'!$C$2:$C$101,A61,'Functional Reqs'!$J$2:$J$101,"No tests")+COUNTIFS('Functional Reqs'!$D$2:$D$101,A61,'Functional Reqs'!$J$2:$J$101,"No tests")+COUNTIFS('Functional Reqs'!$C$2:$C$101,A61,'Functional Reqs'!$J$2:$J$101,"Not run yet")+COUNTIFS('Functional Reqs'!$D$2:$D$101,A61,'Functional Reqs'!$J$2:$J$101,"Not run yet"))</f>
      </c>
      <c r="I61" s="6">
        <f>IF(A61="","",IF(F61=0,"Not traced",IF(G61&gt;0,"Failing",IF(H61&gt;0,"Gaps","Fully tested"))))</f>
      </c>
    </row>
    <row r="62">
      <c r="A62" s="5"/>
      <c r="B62" s="5"/>
      <c r="C62" s="5"/>
      <c r="D62" s="5"/>
      <c r="E62" s="5"/>
      <c r="F62" s="6">
        <f>IF(A62="","",COUNTIF('Functional Reqs'!$C$2:$C$101,A62)+COUNTIF('Functional Reqs'!$D$2:$D$101,A62))</f>
      </c>
      <c r="G62" s="6">
        <f>IF(A62="","",COUNTIFS('Functional Reqs'!$C$2:$C$101,A62,'Functional Reqs'!$J$2:$J$101,"Failing")+COUNTIFS('Functional Reqs'!$D$2:$D$101,A62,'Functional Reqs'!$J$2:$J$101,"Failing"))</f>
      </c>
      <c r="H62" s="6">
        <f>IF(A62="","",COUNTIFS('Functional Reqs'!$C$2:$C$101,A62,'Functional Reqs'!$J$2:$J$101,"No tests")+COUNTIFS('Functional Reqs'!$D$2:$D$101,A62,'Functional Reqs'!$J$2:$J$101,"No tests")+COUNTIFS('Functional Reqs'!$C$2:$C$101,A62,'Functional Reqs'!$J$2:$J$101,"Not run yet")+COUNTIFS('Functional Reqs'!$D$2:$D$101,A62,'Functional Reqs'!$J$2:$J$101,"Not run yet"))</f>
      </c>
      <c r="I62" s="6">
        <f>IF(A62="","",IF(F62=0,"Not traced",IF(G62&gt;0,"Failing",IF(H62&gt;0,"Gaps","Fully tested"))))</f>
      </c>
    </row>
    <row r="63">
      <c r="A63" s="5"/>
      <c r="B63" s="5"/>
      <c r="C63" s="5"/>
      <c r="D63" s="5"/>
      <c r="E63" s="5"/>
      <c r="F63" s="6">
        <f>IF(A63="","",COUNTIF('Functional Reqs'!$C$2:$C$101,A63)+COUNTIF('Functional Reqs'!$D$2:$D$101,A63))</f>
      </c>
      <c r="G63" s="6">
        <f>IF(A63="","",COUNTIFS('Functional Reqs'!$C$2:$C$101,A63,'Functional Reqs'!$J$2:$J$101,"Failing")+COUNTIFS('Functional Reqs'!$D$2:$D$101,A63,'Functional Reqs'!$J$2:$J$101,"Failing"))</f>
      </c>
      <c r="H63" s="6">
        <f>IF(A63="","",COUNTIFS('Functional Reqs'!$C$2:$C$101,A63,'Functional Reqs'!$J$2:$J$101,"No tests")+COUNTIFS('Functional Reqs'!$D$2:$D$101,A63,'Functional Reqs'!$J$2:$J$101,"No tests")+COUNTIFS('Functional Reqs'!$C$2:$C$101,A63,'Functional Reqs'!$J$2:$J$101,"Not run yet")+COUNTIFS('Functional Reqs'!$D$2:$D$101,A63,'Functional Reqs'!$J$2:$J$101,"Not run yet"))</f>
      </c>
      <c r="I63" s="6">
        <f>IF(A63="","",IF(F63=0,"Not traced",IF(G63&gt;0,"Failing",IF(H63&gt;0,"Gaps","Fully tested"))))</f>
      </c>
    </row>
    <row r="64">
      <c r="A64" s="5"/>
      <c r="B64" s="5"/>
      <c r="C64" s="5"/>
      <c r="D64" s="5"/>
      <c r="E64" s="5"/>
      <c r="F64" s="6">
        <f>IF(A64="","",COUNTIF('Functional Reqs'!$C$2:$C$101,A64)+COUNTIF('Functional Reqs'!$D$2:$D$101,A64))</f>
      </c>
      <c r="G64" s="6">
        <f>IF(A64="","",COUNTIFS('Functional Reqs'!$C$2:$C$101,A64,'Functional Reqs'!$J$2:$J$101,"Failing")+COUNTIFS('Functional Reqs'!$D$2:$D$101,A64,'Functional Reqs'!$J$2:$J$101,"Failing"))</f>
      </c>
      <c r="H64" s="6">
        <f>IF(A64="","",COUNTIFS('Functional Reqs'!$C$2:$C$101,A64,'Functional Reqs'!$J$2:$J$101,"No tests")+COUNTIFS('Functional Reqs'!$D$2:$D$101,A64,'Functional Reqs'!$J$2:$J$101,"No tests")+COUNTIFS('Functional Reqs'!$C$2:$C$101,A64,'Functional Reqs'!$J$2:$J$101,"Not run yet")+COUNTIFS('Functional Reqs'!$D$2:$D$101,A64,'Functional Reqs'!$J$2:$J$101,"Not run yet"))</f>
      </c>
      <c r="I64" s="6">
        <f>IF(A64="","",IF(F64=0,"Not traced",IF(G64&gt;0,"Failing",IF(H64&gt;0,"Gaps","Fully tested"))))</f>
      </c>
    </row>
    <row r="65">
      <c r="A65" s="5"/>
      <c r="B65" s="5"/>
      <c r="C65" s="5"/>
      <c r="D65" s="5"/>
      <c r="E65" s="5"/>
      <c r="F65" s="6">
        <f>IF(A65="","",COUNTIF('Functional Reqs'!$C$2:$C$101,A65)+COUNTIF('Functional Reqs'!$D$2:$D$101,A65))</f>
      </c>
      <c r="G65" s="6">
        <f>IF(A65="","",COUNTIFS('Functional Reqs'!$C$2:$C$101,A65,'Functional Reqs'!$J$2:$J$101,"Failing")+COUNTIFS('Functional Reqs'!$D$2:$D$101,A65,'Functional Reqs'!$J$2:$J$101,"Failing"))</f>
      </c>
      <c r="H65" s="6">
        <f>IF(A65="","",COUNTIFS('Functional Reqs'!$C$2:$C$101,A65,'Functional Reqs'!$J$2:$J$101,"No tests")+COUNTIFS('Functional Reqs'!$D$2:$D$101,A65,'Functional Reqs'!$J$2:$J$101,"No tests")+COUNTIFS('Functional Reqs'!$C$2:$C$101,A65,'Functional Reqs'!$J$2:$J$101,"Not run yet")+COUNTIFS('Functional Reqs'!$D$2:$D$101,A65,'Functional Reqs'!$J$2:$J$101,"Not run yet"))</f>
      </c>
      <c r="I65" s="6">
        <f>IF(A65="","",IF(F65=0,"Not traced",IF(G65&gt;0,"Failing",IF(H65&gt;0,"Gaps","Fully tested"))))</f>
      </c>
    </row>
    <row r="66">
      <c r="A66" s="5"/>
      <c r="B66" s="5"/>
      <c r="C66" s="5"/>
      <c r="D66" s="5"/>
      <c r="E66" s="5"/>
      <c r="F66" s="6">
        <f>IF(A66="","",COUNTIF('Functional Reqs'!$C$2:$C$101,A66)+COUNTIF('Functional Reqs'!$D$2:$D$101,A66))</f>
      </c>
      <c r="G66" s="6">
        <f>IF(A66="","",COUNTIFS('Functional Reqs'!$C$2:$C$101,A66,'Functional Reqs'!$J$2:$J$101,"Failing")+COUNTIFS('Functional Reqs'!$D$2:$D$101,A66,'Functional Reqs'!$J$2:$J$101,"Failing"))</f>
      </c>
      <c r="H66" s="6">
        <f>IF(A66="","",COUNTIFS('Functional Reqs'!$C$2:$C$101,A66,'Functional Reqs'!$J$2:$J$101,"No tests")+COUNTIFS('Functional Reqs'!$D$2:$D$101,A66,'Functional Reqs'!$J$2:$J$101,"No tests")+COUNTIFS('Functional Reqs'!$C$2:$C$101,A66,'Functional Reqs'!$J$2:$J$101,"Not run yet")+COUNTIFS('Functional Reqs'!$D$2:$D$101,A66,'Functional Reqs'!$J$2:$J$101,"Not run yet"))</f>
      </c>
      <c r="I66" s="6">
        <f>IF(A66="","",IF(F66=0,"Not traced",IF(G66&gt;0,"Failing",IF(H66&gt;0,"Gaps","Fully tested"))))</f>
      </c>
    </row>
    <row r="67">
      <c r="A67" s="5"/>
      <c r="B67" s="5"/>
      <c r="C67" s="5"/>
      <c r="D67" s="5"/>
      <c r="E67" s="5"/>
      <c r="F67" s="6">
        <f>IF(A67="","",COUNTIF('Functional Reqs'!$C$2:$C$101,A67)+COUNTIF('Functional Reqs'!$D$2:$D$101,A67))</f>
      </c>
      <c r="G67" s="6">
        <f>IF(A67="","",COUNTIFS('Functional Reqs'!$C$2:$C$101,A67,'Functional Reqs'!$J$2:$J$101,"Failing")+COUNTIFS('Functional Reqs'!$D$2:$D$101,A67,'Functional Reqs'!$J$2:$J$101,"Failing"))</f>
      </c>
      <c r="H67" s="6">
        <f>IF(A67="","",COUNTIFS('Functional Reqs'!$C$2:$C$101,A67,'Functional Reqs'!$J$2:$J$101,"No tests")+COUNTIFS('Functional Reqs'!$D$2:$D$101,A67,'Functional Reqs'!$J$2:$J$101,"No tests")+COUNTIFS('Functional Reqs'!$C$2:$C$101,A67,'Functional Reqs'!$J$2:$J$101,"Not run yet")+COUNTIFS('Functional Reqs'!$D$2:$D$101,A67,'Functional Reqs'!$J$2:$J$101,"Not run yet"))</f>
      </c>
      <c r="I67" s="6">
        <f>IF(A67="","",IF(F67=0,"Not traced",IF(G67&gt;0,"Failing",IF(H67&gt;0,"Gaps","Fully tested"))))</f>
      </c>
    </row>
    <row r="68">
      <c r="A68" s="5"/>
      <c r="B68" s="5"/>
      <c r="C68" s="5"/>
      <c r="D68" s="5"/>
      <c r="E68" s="5"/>
      <c r="F68" s="6">
        <f>IF(A68="","",COUNTIF('Functional Reqs'!$C$2:$C$101,A68)+COUNTIF('Functional Reqs'!$D$2:$D$101,A68))</f>
      </c>
      <c r="G68" s="6">
        <f>IF(A68="","",COUNTIFS('Functional Reqs'!$C$2:$C$101,A68,'Functional Reqs'!$J$2:$J$101,"Failing")+COUNTIFS('Functional Reqs'!$D$2:$D$101,A68,'Functional Reqs'!$J$2:$J$101,"Failing"))</f>
      </c>
      <c r="H68" s="6">
        <f>IF(A68="","",COUNTIFS('Functional Reqs'!$C$2:$C$101,A68,'Functional Reqs'!$J$2:$J$101,"No tests")+COUNTIFS('Functional Reqs'!$D$2:$D$101,A68,'Functional Reqs'!$J$2:$J$101,"No tests")+COUNTIFS('Functional Reqs'!$C$2:$C$101,A68,'Functional Reqs'!$J$2:$J$101,"Not run yet")+COUNTIFS('Functional Reqs'!$D$2:$D$101,A68,'Functional Reqs'!$J$2:$J$101,"Not run yet"))</f>
      </c>
      <c r="I68" s="6">
        <f>IF(A68="","",IF(F68=0,"Not traced",IF(G68&gt;0,"Failing",IF(H68&gt;0,"Gaps","Fully tested"))))</f>
      </c>
    </row>
    <row r="69">
      <c r="A69" s="5"/>
      <c r="B69" s="5"/>
      <c r="C69" s="5"/>
      <c r="D69" s="5"/>
      <c r="E69" s="5"/>
      <c r="F69" s="6">
        <f>IF(A69="","",COUNTIF('Functional Reqs'!$C$2:$C$101,A69)+COUNTIF('Functional Reqs'!$D$2:$D$101,A69))</f>
      </c>
      <c r="G69" s="6">
        <f>IF(A69="","",COUNTIFS('Functional Reqs'!$C$2:$C$101,A69,'Functional Reqs'!$J$2:$J$101,"Failing")+COUNTIFS('Functional Reqs'!$D$2:$D$101,A69,'Functional Reqs'!$J$2:$J$101,"Failing"))</f>
      </c>
      <c r="H69" s="6">
        <f>IF(A69="","",COUNTIFS('Functional Reqs'!$C$2:$C$101,A69,'Functional Reqs'!$J$2:$J$101,"No tests")+COUNTIFS('Functional Reqs'!$D$2:$D$101,A69,'Functional Reqs'!$J$2:$J$101,"No tests")+COUNTIFS('Functional Reqs'!$C$2:$C$101,A69,'Functional Reqs'!$J$2:$J$101,"Not run yet")+COUNTIFS('Functional Reqs'!$D$2:$D$101,A69,'Functional Reqs'!$J$2:$J$101,"Not run yet"))</f>
      </c>
      <c r="I69" s="6">
        <f>IF(A69="","",IF(F69=0,"Not traced",IF(G69&gt;0,"Failing",IF(H69&gt;0,"Gaps","Fully tested"))))</f>
      </c>
    </row>
    <row r="70">
      <c r="A70" s="5"/>
      <c r="B70" s="5"/>
      <c r="C70" s="5"/>
      <c r="D70" s="5"/>
      <c r="E70" s="5"/>
      <c r="F70" s="6">
        <f>IF(A70="","",COUNTIF('Functional Reqs'!$C$2:$C$101,A70)+COUNTIF('Functional Reqs'!$D$2:$D$101,A70))</f>
      </c>
      <c r="G70" s="6">
        <f>IF(A70="","",COUNTIFS('Functional Reqs'!$C$2:$C$101,A70,'Functional Reqs'!$J$2:$J$101,"Failing")+COUNTIFS('Functional Reqs'!$D$2:$D$101,A70,'Functional Reqs'!$J$2:$J$101,"Failing"))</f>
      </c>
      <c r="H70" s="6">
        <f>IF(A70="","",COUNTIFS('Functional Reqs'!$C$2:$C$101,A70,'Functional Reqs'!$J$2:$J$101,"No tests")+COUNTIFS('Functional Reqs'!$D$2:$D$101,A70,'Functional Reqs'!$J$2:$J$101,"No tests")+COUNTIFS('Functional Reqs'!$C$2:$C$101,A70,'Functional Reqs'!$J$2:$J$101,"Not run yet")+COUNTIFS('Functional Reqs'!$D$2:$D$101,A70,'Functional Reqs'!$J$2:$J$101,"Not run yet"))</f>
      </c>
      <c r="I70" s="6">
        <f>IF(A70="","",IF(F70=0,"Not traced",IF(G70&gt;0,"Failing",IF(H70&gt;0,"Gaps","Fully tested"))))</f>
      </c>
    </row>
    <row r="71">
      <c r="A71" s="5"/>
      <c r="B71" s="5"/>
      <c r="C71" s="5"/>
      <c r="D71" s="5"/>
      <c r="E71" s="5"/>
      <c r="F71" s="6">
        <f>IF(A71="","",COUNTIF('Functional Reqs'!$C$2:$C$101,A71)+COUNTIF('Functional Reqs'!$D$2:$D$101,A71))</f>
      </c>
      <c r="G71" s="6">
        <f>IF(A71="","",COUNTIFS('Functional Reqs'!$C$2:$C$101,A71,'Functional Reqs'!$J$2:$J$101,"Failing")+COUNTIFS('Functional Reqs'!$D$2:$D$101,A71,'Functional Reqs'!$J$2:$J$101,"Failing"))</f>
      </c>
      <c r="H71" s="6">
        <f>IF(A71="","",COUNTIFS('Functional Reqs'!$C$2:$C$101,A71,'Functional Reqs'!$J$2:$J$101,"No tests")+COUNTIFS('Functional Reqs'!$D$2:$D$101,A71,'Functional Reqs'!$J$2:$J$101,"No tests")+COUNTIFS('Functional Reqs'!$C$2:$C$101,A71,'Functional Reqs'!$J$2:$J$101,"Not run yet")+COUNTIFS('Functional Reqs'!$D$2:$D$101,A71,'Functional Reqs'!$J$2:$J$101,"Not run yet"))</f>
      </c>
      <c r="I71" s="6">
        <f>IF(A71="","",IF(F71=0,"Not traced",IF(G71&gt;0,"Failing",IF(H71&gt;0,"Gaps","Fully tested"))))</f>
      </c>
    </row>
    <row r="72">
      <c r="A72" s="5"/>
      <c r="B72" s="5"/>
      <c r="C72" s="5"/>
      <c r="D72" s="5"/>
      <c r="E72" s="5"/>
      <c r="F72" s="6">
        <f>IF(A72="","",COUNTIF('Functional Reqs'!$C$2:$C$101,A72)+COUNTIF('Functional Reqs'!$D$2:$D$101,A72))</f>
      </c>
      <c r="G72" s="6">
        <f>IF(A72="","",COUNTIFS('Functional Reqs'!$C$2:$C$101,A72,'Functional Reqs'!$J$2:$J$101,"Failing")+COUNTIFS('Functional Reqs'!$D$2:$D$101,A72,'Functional Reqs'!$J$2:$J$101,"Failing"))</f>
      </c>
      <c r="H72" s="6">
        <f>IF(A72="","",COUNTIFS('Functional Reqs'!$C$2:$C$101,A72,'Functional Reqs'!$J$2:$J$101,"No tests")+COUNTIFS('Functional Reqs'!$D$2:$D$101,A72,'Functional Reqs'!$J$2:$J$101,"No tests")+COUNTIFS('Functional Reqs'!$C$2:$C$101,A72,'Functional Reqs'!$J$2:$J$101,"Not run yet")+COUNTIFS('Functional Reqs'!$D$2:$D$101,A72,'Functional Reqs'!$J$2:$J$101,"Not run yet"))</f>
      </c>
      <c r="I72" s="6">
        <f>IF(A72="","",IF(F72=0,"Not traced",IF(G72&gt;0,"Failing",IF(H72&gt;0,"Gaps","Fully tested"))))</f>
      </c>
    </row>
    <row r="73">
      <c r="A73" s="5"/>
      <c r="B73" s="5"/>
      <c r="C73" s="5"/>
      <c r="D73" s="5"/>
      <c r="E73" s="5"/>
      <c r="F73" s="6">
        <f>IF(A73="","",COUNTIF('Functional Reqs'!$C$2:$C$101,A73)+COUNTIF('Functional Reqs'!$D$2:$D$101,A73))</f>
      </c>
      <c r="G73" s="6">
        <f>IF(A73="","",COUNTIFS('Functional Reqs'!$C$2:$C$101,A73,'Functional Reqs'!$J$2:$J$101,"Failing")+COUNTIFS('Functional Reqs'!$D$2:$D$101,A73,'Functional Reqs'!$J$2:$J$101,"Failing"))</f>
      </c>
      <c r="H73" s="6">
        <f>IF(A73="","",COUNTIFS('Functional Reqs'!$C$2:$C$101,A73,'Functional Reqs'!$J$2:$J$101,"No tests")+COUNTIFS('Functional Reqs'!$D$2:$D$101,A73,'Functional Reqs'!$J$2:$J$101,"No tests")+COUNTIFS('Functional Reqs'!$C$2:$C$101,A73,'Functional Reqs'!$J$2:$J$101,"Not run yet")+COUNTIFS('Functional Reqs'!$D$2:$D$101,A73,'Functional Reqs'!$J$2:$J$101,"Not run yet"))</f>
      </c>
      <c r="I73" s="6">
        <f>IF(A73="","",IF(F73=0,"Not traced",IF(G73&gt;0,"Failing",IF(H73&gt;0,"Gaps","Fully tested"))))</f>
      </c>
    </row>
    <row r="74">
      <c r="A74" s="5"/>
      <c r="B74" s="5"/>
      <c r="C74" s="5"/>
      <c r="D74" s="5"/>
      <c r="E74" s="5"/>
      <c r="F74" s="6">
        <f>IF(A74="","",COUNTIF('Functional Reqs'!$C$2:$C$101,A74)+COUNTIF('Functional Reqs'!$D$2:$D$101,A74))</f>
      </c>
      <c r="G74" s="6">
        <f>IF(A74="","",COUNTIFS('Functional Reqs'!$C$2:$C$101,A74,'Functional Reqs'!$J$2:$J$101,"Failing")+COUNTIFS('Functional Reqs'!$D$2:$D$101,A74,'Functional Reqs'!$J$2:$J$101,"Failing"))</f>
      </c>
      <c r="H74" s="6">
        <f>IF(A74="","",COUNTIFS('Functional Reqs'!$C$2:$C$101,A74,'Functional Reqs'!$J$2:$J$101,"No tests")+COUNTIFS('Functional Reqs'!$D$2:$D$101,A74,'Functional Reqs'!$J$2:$J$101,"No tests")+COUNTIFS('Functional Reqs'!$C$2:$C$101,A74,'Functional Reqs'!$J$2:$J$101,"Not run yet")+COUNTIFS('Functional Reqs'!$D$2:$D$101,A74,'Functional Reqs'!$J$2:$J$101,"Not run yet"))</f>
      </c>
      <c r="I74" s="6">
        <f>IF(A74="","",IF(F74=0,"Not traced",IF(G74&gt;0,"Failing",IF(H74&gt;0,"Gaps","Fully tested"))))</f>
      </c>
    </row>
    <row r="75">
      <c r="A75" s="5"/>
      <c r="B75" s="5"/>
      <c r="C75" s="5"/>
      <c r="D75" s="5"/>
      <c r="E75" s="5"/>
      <c r="F75" s="6">
        <f>IF(A75="","",COUNTIF('Functional Reqs'!$C$2:$C$101,A75)+COUNTIF('Functional Reqs'!$D$2:$D$101,A75))</f>
      </c>
      <c r="G75" s="6">
        <f>IF(A75="","",COUNTIFS('Functional Reqs'!$C$2:$C$101,A75,'Functional Reqs'!$J$2:$J$101,"Failing")+COUNTIFS('Functional Reqs'!$D$2:$D$101,A75,'Functional Reqs'!$J$2:$J$101,"Failing"))</f>
      </c>
      <c r="H75" s="6">
        <f>IF(A75="","",COUNTIFS('Functional Reqs'!$C$2:$C$101,A75,'Functional Reqs'!$J$2:$J$101,"No tests")+COUNTIFS('Functional Reqs'!$D$2:$D$101,A75,'Functional Reqs'!$J$2:$J$101,"No tests")+COUNTIFS('Functional Reqs'!$C$2:$C$101,A75,'Functional Reqs'!$J$2:$J$101,"Not run yet")+COUNTIFS('Functional Reqs'!$D$2:$D$101,A75,'Functional Reqs'!$J$2:$J$101,"Not run yet"))</f>
      </c>
      <c r="I75" s="6">
        <f>IF(A75="","",IF(F75=0,"Not traced",IF(G75&gt;0,"Failing",IF(H75&gt;0,"Gaps","Fully tested"))))</f>
      </c>
    </row>
    <row r="76">
      <c r="A76" s="5"/>
      <c r="B76" s="5"/>
      <c r="C76" s="5"/>
      <c r="D76" s="5"/>
      <c r="E76" s="5"/>
      <c r="F76" s="6">
        <f>IF(A76="","",COUNTIF('Functional Reqs'!$C$2:$C$101,A76)+COUNTIF('Functional Reqs'!$D$2:$D$101,A76))</f>
      </c>
      <c r="G76" s="6">
        <f>IF(A76="","",COUNTIFS('Functional Reqs'!$C$2:$C$101,A76,'Functional Reqs'!$J$2:$J$101,"Failing")+COUNTIFS('Functional Reqs'!$D$2:$D$101,A76,'Functional Reqs'!$J$2:$J$101,"Failing"))</f>
      </c>
      <c r="H76" s="6">
        <f>IF(A76="","",COUNTIFS('Functional Reqs'!$C$2:$C$101,A76,'Functional Reqs'!$J$2:$J$101,"No tests")+COUNTIFS('Functional Reqs'!$D$2:$D$101,A76,'Functional Reqs'!$J$2:$J$101,"No tests")+COUNTIFS('Functional Reqs'!$C$2:$C$101,A76,'Functional Reqs'!$J$2:$J$101,"Not run yet")+COUNTIFS('Functional Reqs'!$D$2:$D$101,A76,'Functional Reqs'!$J$2:$J$101,"Not run yet"))</f>
      </c>
      <c r="I76" s="6">
        <f>IF(A76="","",IF(F76=0,"Not traced",IF(G76&gt;0,"Failing",IF(H76&gt;0,"Gaps","Fully tested"))))</f>
      </c>
    </row>
    <row r="77">
      <c r="A77" s="5"/>
      <c r="B77" s="5"/>
      <c r="C77" s="5"/>
      <c r="D77" s="5"/>
      <c r="E77" s="5"/>
      <c r="F77" s="6">
        <f>IF(A77="","",COUNTIF('Functional Reqs'!$C$2:$C$101,A77)+COUNTIF('Functional Reqs'!$D$2:$D$101,A77))</f>
      </c>
      <c r="G77" s="6">
        <f>IF(A77="","",COUNTIFS('Functional Reqs'!$C$2:$C$101,A77,'Functional Reqs'!$J$2:$J$101,"Failing")+COUNTIFS('Functional Reqs'!$D$2:$D$101,A77,'Functional Reqs'!$J$2:$J$101,"Failing"))</f>
      </c>
      <c r="H77" s="6">
        <f>IF(A77="","",COUNTIFS('Functional Reqs'!$C$2:$C$101,A77,'Functional Reqs'!$J$2:$J$101,"No tests")+COUNTIFS('Functional Reqs'!$D$2:$D$101,A77,'Functional Reqs'!$J$2:$J$101,"No tests")+COUNTIFS('Functional Reqs'!$C$2:$C$101,A77,'Functional Reqs'!$J$2:$J$101,"Not run yet")+COUNTIFS('Functional Reqs'!$D$2:$D$101,A77,'Functional Reqs'!$J$2:$J$101,"Not run yet"))</f>
      </c>
      <c r="I77" s="6">
        <f>IF(A77="","",IF(F77=0,"Not traced",IF(G77&gt;0,"Failing",IF(H77&gt;0,"Gaps","Fully tested"))))</f>
      </c>
    </row>
    <row r="78">
      <c r="A78" s="5"/>
      <c r="B78" s="5"/>
      <c r="C78" s="5"/>
      <c r="D78" s="5"/>
      <c r="E78" s="5"/>
      <c r="F78" s="6">
        <f>IF(A78="","",COUNTIF('Functional Reqs'!$C$2:$C$101,A78)+COUNTIF('Functional Reqs'!$D$2:$D$101,A78))</f>
      </c>
      <c r="G78" s="6">
        <f>IF(A78="","",COUNTIFS('Functional Reqs'!$C$2:$C$101,A78,'Functional Reqs'!$J$2:$J$101,"Failing")+COUNTIFS('Functional Reqs'!$D$2:$D$101,A78,'Functional Reqs'!$J$2:$J$101,"Failing"))</f>
      </c>
      <c r="H78" s="6">
        <f>IF(A78="","",COUNTIFS('Functional Reqs'!$C$2:$C$101,A78,'Functional Reqs'!$J$2:$J$101,"No tests")+COUNTIFS('Functional Reqs'!$D$2:$D$101,A78,'Functional Reqs'!$J$2:$J$101,"No tests")+COUNTIFS('Functional Reqs'!$C$2:$C$101,A78,'Functional Reqs'!$J$2:$J$101,"Not run yet")+COUNTIFS('Functional Reqs'!$D$2:$D$101,A78,'Functional Reqs'!$J$2:$J$101,"Not run yet"))</f>
      </c>
      <c r="I78" s="6">
        <f>IF(A78="","",IF(F78=0,"Not traced",IF(G78&gt;0,"Failing",IF(H78&gt;0,"Gaps","Fully tested"))))</f>
      </c>
    </row>
    <row r="79">
      <c r="A79" s="5"/>
      <c r="B79" s="5"/>
      <c r="C79" s="5"/>
      <c r="D79" s="5"/>
      <c r="E79" s="5"/>
      <c r="F79" s="6">
        <f>IF(A79="","",COUNTIF('Functional Reqs'!$C$2:$C$101,A79)+COUNTIF('Functional Reqs'!$D$2:$D$101,A79))</f>
      </c>
      <c r="G79" s="6">
        <f>IF(A79="","",COUNTIFS('Functional Reqs'!$C$2:$C$101,A79,'Functional Reqs'!$J$2:$J$101,"Failing")+COUNTIFS('Functional Reqs'!$D$2:$D$101,A79,'Functional Reqs'!$J$2:$J$101,"Failing"))</f>
      </c>
      <c r="H79" s="6">
        <f>IF(A79="","",COUNTIFS('Functional Reqs'!$C$2:$C$101,A79,'Functional Reqs'!$J$2:$J$101,"No tests")+COUNTIFS('Functional Reqs'!$D$2:$D$101,A79,'Functional Reqs'!$J$2:$J$101,"No tests")+COUNTIFS('Functional Reqs'!$C$2:$C$101,A79,'Functional Reqs'!$J$2:$J$101,"Not run yet")+COUNTIFS('Functional Reqs'!$D$2:$D$101,A79,'Functional Reqs'!$J$2:$J$101,"Not run yet"))</f>
      </c>
      <c r="I79" s="6">
        <f>IF(A79="","",IF(F79=0,"Not traced",IF(G79&gt;0,"Failing",IF(H79&gt;0,"Gaps","Fully tested"))))</f>
      </c>
    </row>
    <row r="80">
      <c r="A80" s="5"/>
      <c r="B80" s="5"/>
      <c r="C80" s="5"/>
      <c r="D80" s="5"/>
      <c r="E80" s="5"/>
      <c r="F80" s="6">
        <f>IF(A80="","",COUNTIF('Functional Reqs'!$C$2:$C$101,A80)+COUNTIF('Functional Reqs'!$D$2:$D$101,A80))</f>
      </c>
      <c r="G80" s="6">
        <f>IF(A80="","",COUNTIFS('Functional Reqs'!$C$2:$C$101,A80,'Functional Reqs'!$J$2:$J$101,"Failing")+COUNTIFS('Functional Reqs'!$D$2:$D$101,A80,'Functional Reqs'!$J$2:$J$101,"Failing"))</f>
      </c>
      <c r="H80" s="6">
        <f>IF(A80="","",COUNTIFS('Functional Reqs'!$C$2:$C$101,A80,'Functional Reqs'!$J$2:$J$101,"No tests")+COUNTIFS('Functional Reqs'!$D$2:$D$101,A80,'Functional Reqs'!$J$2:$J$101,"No tests")+COUNTIFS('Functional Reqs'!$C$2:$C$101,A80,'Functional Reqs'!$J$2:$J$101,"Not run yet")+COUNTIFS('Functional Reqs'!$D$2:$D$101,A80,'Functional Reqs'!$J$2:$J$101,"Not run yet"))</f>
      </c>
      <c r="I80" s="6">
        <f>IF(A80="","",IF(F80=0,"Not traced",IF(G80&gt;0,"Failing",IF(H80&gt;0,"Gaps","Fully tested"))))</f>
      </c>
    </row>
    <row r="81">
      <c r="A81" s="5"/>
      <c r="B81" s="5"/>
      <c r="C81" s="5"/>
      <c r="D81" s="5"/>
      <c r="E81" s="5"/>
      <c r="F81" s="6">
        <f>IF(A81="","",COUNTIF('Functional Reqs'!$C$2:$C$101,A81)+COUNTIF('Functional Reqs'!$D$2:$D$101,A81))</f>
      </c>
      <c r="G81" s="6">
        <f>IF(A81="","",COUNTIFS('Functional Reqs'!$C$2:$C$101,A81,'Functional Reqs'!$J$2:$J$101,"Failing")+COUNTIFS('Functional Reqs'!$D$2:$D$101,A81,'Functional Reqs'!$J$2:$J$101,"Failing"))</f>
      </c>
      <c r="H81" s="6">
        <f>IF(A81="","",COUNTIFS('Functional Reqs'!$C$2:$C$101,A81,'Functional Reqs'!$J$2:$J$101,"No tests")+COUNTIFS('Functional Reqs'!$D$2:$D$101,A81,'Functional Reqs'!$J$2:$J$101,"No tests")+COUNTIFS('Functional Reqs'!$C$2:$C$101,A81,'Functional Reqs'!$J$2:$J$101,"Not run yet")+COUNTIFS('Functional Reqs'!$D$2:$D$101,A81,'Functional Reqs'!$J$2:$J$101,"Not run yet"))</f>
      </c>
      <c r="I81" s="6">
        <f>IF(A81="","",IF(F81=0,"Not traced",IF(G81&gt;0,"Failing",IF(H81&gt;0,"Gaps","Fully tested"))))</f>
      </c>
    </row>
    <row r="82">
      <c r="A82" s="5"/>
      <c r="B82" s="5"/>
      <c r="C82" s="5"/>
      <c r="D82" s="5"/>
      <c r="E82" s="5"/>
      <c r="F82" s="6">
        <f>IF(A82="","",COUNTIF('Functional Reqs'!$C$2:$C$101,A82)+COUNTIF('Functional Reqs'!$D$2:$D$101,A82))</f>
      </c>
      <c r="G82" s="6">
        <f>IF(A82="","",COUNTIFS('Functional Reqs'!$C$2:$C$101,A82,'Functional Reqs'!$J$2:$J$101,"Failing")+COUNTIFS('Functional Reqs'!$D$2:$D$101,A82,'Functional Reqs'!$J$2:$J$101,"Failing"))</f>
      </c>
      <c r="H82" s="6">
        <f>IF(A82="","",COUNTIFS('Functional Reqs'!$C$2:$C$101,A82,'Functional Reqs'!$J$2:$J$101,"No tests")+COUNTIFS('Functional Reqs'!$D$2:$D$101,A82,'Functional Reqs'!$J$2:$J$101,"No tests")+COUNTIFS('Functional Reqs'!$C$2:$C$101,A82,'Functional Reqs'!$J$2:$J$101,"Not run yet")+COUNTIFS('Functional Reqs'!$D$2:$D$101,A82,'Functional Reqs'!$J$2:$J$101,"Not run yet"))</f>
      </c>
      <c r="I82" s="6">
        <f>IF(A82="","",IF(F82=0,"Not traced",IF(G82&gt;0,"Failing",IF(H82&gt;0,"Gaps","Fully tested"))))</f>
      </c>
    </row>
    <row r="83">
      <c r="A83" s="5"/>
      <c r="B83" s="5"/>
      <c r="C83" s="5"/>
      <c r="D83" s="5"/>
      <c r="E83" s="5"/>
      <c r="F83" s="6">
        <f>IF(A83="","",COUNTIF('Functional Reqs'!$C$2:$C$101,A83)+COUNTIF('Functional Reqs'!$D$2:$D$101,A83))</f>
      </c>
      <c r="G83" s="6">
        <f>IF(A83="","",COUNTIFS('Functional Reqs'!$C$2:$C$101,A83,'Functional Reqs'!$J$2:$J$101,"Failing")+COUNTIFS('Functional Reqs'!$D$2:$D$101,A83,'Functional Reqs'!$J$2:$J$101,"Failing"))</f>
      </c>
      <c r="H83" s="6">
        <f>IF(A83="","",COUNTIFS('Functional Reqs'!$C$2:$C$101,A83,'Functional Reqs'!$J$2:$J$101,"No tests")+COUNTIFS('Functional Reqs'!$D$2:$D$101,A83,'Functional Reqs'!$J$2:$J$101,"No tests")+COUNTIFS('Functional Reqs'!$C$2:$C$101,A83,'Functional Reqs'!$J$2:$J$101,"Not run yet")+COUNTIFS('Functional Reqs'!$D$2:$D$101,A83,'Functional Reqs'!$J$2:$J$101,"Not run yet"))</f>
      </c>
      <c r="I83" s="6">
        <f>IF(A83="","",IF(F83=0,"Not traced",IF(G83&gt;0,"Failing",IF(H83&gt;0,"Gaps","Fully tested"))))</f>
      </c>
    </row>
    <row r="84">
      <c r="A84" s="5"/>
      <c r="B84" s="5"/>
      <c r="C84" s="5"/>
      <c r="D84" s="5"/>
      <c r="E84" s="5"/>
      <c r="F84" s="6">
        <f>IF(A84="","",COUNTIF('Functional Reqs'!$C$2:$C$101,A84)+COUNTIF('Functional Reqs'!$D$2:$D$101,A84))</f>
      </c>
      <c r="G84" s="6">
        <f>IF(A84="","",COUNTIFS('Functional Reqs'!$C$2:$C$101,A84,'Functional Reqs'!$J$2:$J$101,"Failing")+COUNTIFS('Functional Reqs'!$D$2:$D$101,A84,'Functional Reqs'!$J$2:$J$101,"Failing"))</f>
      </c>
      <c r="H84" s="6">
        <f>IF(A84="","",COUNTIFS('Functional Reqs'!$C$2:$C$101,A84,'Functional Reqs'!$J$2:$J$101,"No tests")+COUNTIFS('Functional Reqs'!$D$2:$D$101,A84,'Functional Reqs'!$J$2:$J$101,"No tests")+COUNTIFS('Functional Reqs'!$C$2:$C$101,A84,'Functional Reqs'!$J$2:$J$101,"Not run yet")+COUNTIFS('Functional Reqs'!$D$2:$D$101,A84,'Functional Reqs'!$J$2:$J$101,"Not run yet"))</f>
      </c>
      <c r="I84" s="6">
        <f>IF(A84="","",IF(F84=0,"Not traced",IF(G84&gt;0,"Failing",IF(H84&gt;0,"Gaps","Fully tested"))))</f>
      </c>
    </row>
    <row r="85">
      <c r="A85" s="5"/>
      <c r="B85" s="5"/>
      <c r="C85" s="5"/>
      <c r="D85" s="5"/>
      <c r="E85" s="5"/>
      <c r="F85" s="6">
        <f>IF(A85="","",COUNTIF('Functional Reqs'!$C$2:$C$101,A85)+COUNTIF('Functional Reqs'!$D$2:$D$101,A85))</f>
      </c>
      <c r="G85" s="6">
        <f>IF(A85="","",COUNTIFS('Functional Reqs'!$C$2:$C$101,A85,'Functional Reqs'!$J$2:$J$101,"Failing")+COUNTIFS('Functional Reqs'!$D$2:$D$101,A85,'Functional Reqs'!$J$2:$J$101,"Failing"))</f>
      </c>
      <c r="H85" s="6">
        <f>IF(A85="","",COUNTIFS('Functional Reqs'!$C$2:$C$101,A85,'Functional Reqs'!$J$2:$J$101,"No tests")+COUNTIFS('Functional Reqs'!$D$2:$D$101,A85,'Functional Reqs'!$J$2:$J$101,"No tests")+COUNTIFS('Functional Reqs'!$C$2:$C$101,A85,'Functional Reqs'!$J$2:$J$101,"Not run yet")+COUNTIFS('Functional Reqs'!$D$2:$D$101,A85,'Functional Reqs'!$J$2:$J$101,"Not run yet"))</f>
      </c>
      <c r="I85" s="6">
        <f>IF(A85="","",IF(F85=0,"Not traced",IF(G85&gt;0,"Failing",IF(H85&gt;0,"Gaps","Fully tested"))))</f>
      </c>
    </row>
    <row r="86">
      <c r="A86" s="5"/>
      <c r="B86" s="5"/>
      <c r="C86" s="5"/>
      <c r="D86" s="5"/>
      <c r="E86" s="5"/>
      <c r="F86" s="6">
        <f>IF(A86="","",COUNTIF('Functional Reqs'!$C$2:$C$101,A86)+COUNTIF('Functional Reqs'!$D$2:$D$101,A86))</f>
      </c>
      <c r="G86" s="6">
        <f>IF(A86="","",COUNTIFS('Functional Reqs'!$C$2:$C$101,A86,'Functional Reqs'!$J$2:$J$101,"Failing")+COUNTIFS('Functional Reqs'!$D$2:$D$101,A86,'Functional Reqs'!$J$2:$J$101,"Failing"))</f>
      </c>
      <c r="H86" s="6">
        <f>IF(A86="","",COUNTIFS('Functional Reqs'!$C$2:$C$101,A86,'Functional Reqs'!$J$2:$J$101,"No tests")+COUNTIFS('Functional Reqs'!$D$2:$D$101,A86,'Functional Reqs'!$J$2:$J$101,"No tests")+COUNTIFS('Functional Reqs'!$C$2:$C$101,A86,'Functional Reqs'!$J$2:$J$101,"Not run yet")+COUNTIFS('Functional Reqs'!$D$2:$D$101,A86,'Functional Reqs'!$J$2:$J$101,"Not run yet"))</f>
      </c>
      <c r="I86" s="6">
        <f>IF(A86="","",IF(F86=0,"Not traced",IF(G86&gt;0,"Failing",IF(H86&gt;0,"Gaps","Fully tested"))))</f>
      </c>
    </row>
    <row r="87">
      <c r="A87" s="5"/>
      <c r="B87" s="5"/>
      <c r="C87" s="5"/>
      <c r="D87" s="5"/>
      <c r="E87" s="5"/>
      <c r="F87" s="6">
        <f>IF(A87="","",COUNTIF('Functional Reqs'!$C$2:$C$101,A87)+COUNTIF('Functional Reqs'!$D$2:$D$101,A87))</f>
      </c>
      <c r="G87" s="6">
        <f>IF(A87="","",COUNTIFS('Functional Reqs'!$C$2:$C$101,A87,'Functional Reqs'!$J$2:$J$101,"Failing")+COUNTIFS('Functional Reqs'!$D$2:$D$101,A87,'Functional Reqs'!$J$2:$J$101,"Failing"))</f>
      </c>
      <c r="H87" s="6">
        <f>IF(A87="","",COUNTIFS('Functional Reqs'!$C$2:$C$101,A87,'Functional Reqs'!$J$2:$J$101,"No tests")+COUNTIFS('Functional Reqs'!$D$2:$D$101,A87,'Functional Reqs'!$J$2:$J$101,"No tests")+COUNTIFS('Functional Reqs'!$C$2:$C$101,A87,'Functional Reqs'!$J$2:$J$101,"Not run yet")+COUNTIFS('Functional Reqs'!$D$2:$D$101,A87,'Functional Reqs'!$J$2:$J$101,"Not run yet"))</f>
      </c>
      <c r="I87" s="6">
        <f>IF(A87="","",IF(F87=0,"Not traced",IF(G87&gt;0,"Failing",IF(H87&gt;0,"Gaps","Fully tested"))))</f>
      </c>
    </row>
    <row r="88">
      <c r="A88" s="5"/>
      <c r="B88" s="5"/>
      <c r="C88" s="5"/>
      <c r="D88" s="5"/>
      <c r="E88" s="5"/>
      <c r="F88" s="6">
        <f>IF(A88="","",COUNTIF('Functional Reqs'!$C$2:$C$101,A88)+COUNTIF('Functional Reqs'!$D$2:$D$101,A88))</f>
      </c>
      <c r="G88" s="6">
        <f>IF(A88="","",COUNTIFS('Functional Reqs'!$C$2:$C$101,A88,'Functional Reqs'!$J$2:$J$101,"Failing")+COUNTIFS('Functional Reqs'!$D$2:$D$101,A88,'Functional Reqs'!$J$2:$J$101,"Failing"))</f>
      </c>
      <c r="H88" s="6">
        <f>IF(A88="","",COUNTIFS('Functional Reqs'!$C$2:$C$101,A88,'Functional Reqs'!$J$2:$J$101,"No tests")+COUNTIFS('Functional Reqs'!$D$2:$D$101,A88,'Functional Reqs'!$J$2:$J$101,"No tests")+COUNTIFS('Functional Reqs'!$C$2:$C$101,A88,'Functional Reqs'!$J$2:$J$101,"Not run yet")+COUNTIFS('Functional Reqs'!$D$2:$D$101,A88,'Functional Reqs'!$J$2:$J$101,"Not run yet"))</f>
      </c>
      <c r="I88" s="6">
        <f>IF(A88="","",IF(F88=0,"Not traced",IF(G88&gt;0,"Failing",IF(H88&gt;0,"Gaps","Fully tested"))))</f>
      </c>
    </row>
    <row r="89">
      <c r="A89" s="5"/>
      <c r="B89" s="5"/>
      <c r="C89" s="5"/>
      <c r="D89" s="5"/>
      <c r="E89" s="5"/>
      <c r="F89" s="6">
        <f>IF(A89="","",COUNTIF('Functional Reqs'!$C$2:$C$101,A89)+COUNTIF('Functional Reqs'!$D$2:$D$101,A89))</f>
      </c>
      <c r="G89" s="6">
        <f>IF(A89="","",COUNTIFS('Functional Reqs'!$C$2:$C$101,A89,'Functional Reqs'!$J$2:$J$101,"Failing")+COUNTIFS('Functional Reqs'!$D$2:$D$101,A89,'Functional Reqs'!$J$2:$J$101,"Failing"))</f>
      </c>
      <c r="H89" s="6">
        <f>IF(A89="","",COUNTIFS('Functional Reqs'!$C$2:$C$101,A89,'Functional Reqs'!$J$2:$J$101,"No tests")+COUNTIFS('Functional Reqs'!$D$2:$D$101,A89,'Functional Reqs'!$J$2:$J$101,"No tests")+COUNTIFS('Functional Reqs'!$C$2:$C$101,A89,'Functional Reqs'!$J$2:$J$101,"Not run yet")+COUNTIFS('Functional Reqs'!$D$2:$D$101,A89,'Functional Reqs'!$J$2:$J$101,"Not run yet"))</f>
      </c>
      <c r="I89" s="6">
        <f>IF(A89="","",IF(F89=0,"Not traced",IF(G89&gt;0,"Failing",IF(H89&gt;0,"Gaps","Fully tested"))))</f>
      </c>
    </row>
    <row r="90">
      <c r="A90" s="5"/>
      <c r="B90" s="5"/>
      <c r="C90" s="5"/>
      <c r="D90" s="5"/>
      <c r="E90" s="5"/>
      <c r="F90" s="6">
        <f>IF(A90="","",COUNTIF('Functional Reqs'!$C$2:$C$101,A90)+COUNTIF('Functional Reqs'!$D$2:$D$101,A90))</f>
      </c>
      <c r="G90" s="6">
        <f>IF(A90="","",COUNTIFS('Functional Reqs'!$C$2:$C$101,A90,'Functional Reqs'!$J$2:$J$101,"Failing")+COUNTIFS('Functional Reqs'!$D$2:$D$101,A90,'Functional Reqs'!$J$2:$J$101,"Failing"))</f>
      </c>
      <c r="H90" s="6">
        <f>IF(A90="","",COUNTIFS('Functional Reqs'!$C$2:$C$101,A90,'Functional Reqs'!$J$2:$J$101,"No tests")+COUNTIFS('Functional Reqs'!$D$2:$D$101,A90,'Functional Reqs'!$J$2:$J$101,"No tests")+COUNTIFS('Functional Reqs'!$C$2:$C$101,A90,'Functional Reqs'!$J$2:$J$101,"Not run yet")+COUNTIFS('Functional Reqs'!$D$2:$D$101,A90,'Functional Reqs'!$J$2:$J$101,"Not run yet"))</f>
      </c>
      <c r="I90" s="6">
        <f>IF(A90="","",IF(F90=0,"Not traced",IF(G90&gt;0,"Failing",IF(H90&gt;0,"Gaps","Fully tested"))))</f>
      </c>
    </row>
    <row r="91">
      <c r="A91" s="5"/>
      <c r="B91" s="5"/>
      <c r="C91" s="5"/>
      <c r="D91" s="5"/>
      <c r="E91" s="5"/>
      <c r="F91" s="6">
        <f>IF(A91="","",COUNTIF('Functional Reqs'!$C$2:$C$101,A91)+COUNTIF('Functional Reqs'!$D$2:$D$101,A91))</f>
      </c>
      <c r="G91" s="6">
        <f>IF(A91="","",COUNTIFS('Functional Reqs'!$C$2:$C$101,A91,'Functional Reqs'!$J$2:$J$101,"Failing")+COUNTIFS('Functional Reqs'!$D$2:$D$101,A91,'Functional Reqs'!$J$2:$J$101,"Failing"))</f>
      </c>
      <c r="H91" s="6">
        <f>IF(A91="","",COUNTIFS('Functional Reqs'!$C$2:$C$101,A91,'Functional Reqs'!$J$2:$J$101,"No tests")+COUNTIFS('Functional Reqs'!$D$2:$D$101,A91,'Functional Reqs'!$J$2:$J$101,"No tests")+COUNTIFS('Functional Reqs'!$C$2:$C$101,A91,'Functional Reqs'!$J$2:$J$101,"Not run yet")+COUNTIFS('Functional Reqs'!$D$2:$D$101,A91,'Functional Reqs'!$J$2:$J$101,"Not run yet"))</f>
      </c>
      <c r="I91" s="6">
        <f>IF(A91="","",IF(F91=0,"Not traced",IF(G91&gt;0,"Failing",IF(H91&gt;0,"Gaps","Fully tested"))))</f>
      </c>
    </row>
    <row r="92">
      <c r="A92" s="5"/>
      <c r="B92" s="5"/>
      <c r="C92" s="5"/>
      <c r="D92" s="5"/>
      <c r="E92" s="5"/>
      <c r="F92" s="6">
        <f>IF(A92="","",COUNTIF('Functional Reqs'!$C$2:$C$101,A92)+COUNTIF('Functional Reqs'!$D$2:$D$101,A92))</f>
      </c>
      <c r="G92" s="6">
        <f>IF(A92="","",COUNTIFS('Functional Reqs'!$C$2:$C$101,A92,'Functional Reqs'!$J$2:$J$101,"Failing")+COUNTIFS('Functional Reqs'!$D$2:$D$101,A92,'Functional Reqs'!$J$2:$J$101,"Failing"))</f>
      </c>
      <c r="H92" s="6">
        <f>IF(A92="","",COUNTIFS('Functional Reqs'!$C$2:$C$101,A92,'Functional Reqs'!$J$2:$J$101,"No tests")+COUNTIFS('Functional Reqs'!$D$2:$D$101,A92,'Functional Reqs'!$J$2:$J$101,"No tests")+COUNTIFS('Functional Reqs'!$C$2:$C$101,A92,'Functional Reqs'!$J$2:$J$101,"Not run yet")+COUNTIFS('Functional Reqs'!$D$2:$D$101,A92,'Functional Reqs'!$J$2:$J$101,"Not run yet"))</f>
      </c>
      <c r="I92" s="6">
        <f>IF(A92="","",IF(F92=0,"Not traced",IF(G92&gt;0,"Failing",IF(H92&gt;0,"Gaps","Fully tested"))))</f>
      </c>
    </row>
    <row r="93">
      <c r="A93" s="5"/>
      <c r="B93" s="5"/>
      <c r="C93" s="5"/>
      <c r="D93" s="5"/>
      <c r="E93" s="5"/>
      <c r="F93" s="6">
        <f>IF(A93="","",COUNTIF('Functional Reqs'!$C$2:$C$101,A93)+COUNTIF('Functional Reqs'!$D$2:$D$101,A93))</f>
      </c>
      <c r="G93" s="6">
        <f>IF(A93="","",COUNTIFS('Functional Reqs'!$C$2:$C$101,A93,'Functional Reqs'!$J$2:$J$101,"Failing")+COUNTIFS('Functional Reqs'!$D$2:$D$101,A93,'Functional Reqs'!$J$2:$J$101,"Failing"))</f>
      </c>
      <c r="H93" s="6">
        <f>IF(A93="","",COUNTIFS('Functional Reqs'!$C$2:$C$101,A93,'Functional Reqs'!$J$2:$J$101,"No tests")+COUNTIFS('Functional Reqs'!$D$2:$D$101,A93,'Functional Reqs'!$J$2:$J$101,"No tests")+COUNTIFS('Functional Reqs'!$C$2:$C$101,A93,'Functional Reqs'!$J$2:$J$101,"Not run yet")+COUNTIFS('Functional Reqs'!$D$2:$D$101,A93,'Functional Reqs'!$J$2:$J$101,"Not run yet"))</f>
      </c>
      <c r="I93" s="6">
        <f>IF(A93="","",IF(F93=0,"Not traced",IF(G93&gt;0,"Failing",IF(H93&gt;0,"Gaps","Fully tested"))))</f>
      </c>
    </row>
    <row r="94">
      <c r="A94" s="5"/>
      <c r="B94" s="5"/>
      <c r="C94" s="5"/>
      <c r="D94" s="5"/>
      <c r="E94" s="5"/>
      <c r="F94" s="6">
        <f>IF(A94="","",COUNTIF('Functional Reqs'!$C$2:$C$101,A94)+COUNTIF('Functional Reqs'!$D$2:$D$101,A94))</f>
      </c>
      <c r="G94" s="6">
        <f>IF(A94="","",COUNTIFS('Functional Reqs'!$C$2:$C$101,A94,'Functional Reqs'!$J$2:$J$101,"Failing")+COUNTIFS('Functional Reqs'!$D$2:$D$101,A94,'Functional Reqs'!$J$2:$J$101,"Failing"))</f>
      </c>
      <c r="H94" s="6">
        <f>IF(A94="","",COUNTIFS('Functional Reqs'!$C$2:$C$101,A94,'Functional Reqs'!$J$2:$J$101,"No tests")+COUNTIFS('Functional Reqs'!$D$2:$D$101,A94,'Functional Reqs'!$J$2:$J$101,"No tests")+COUNTIFS('Functional Reqs'!$C$2:$C$101,A94,'Functional Reqs'!$J$2:$J$101,"Not run yet")+COUNTIFS('Functional Reqs'!$D$2:$D$101,A94,'Functional Reqs'!$J$2:$J$101,"Not run yet"))</f>
      </c>
      <c r="I94" s="6">
        <f>IF(A94="","",IF(F94=0,"Not traced",IF(G94&gt;0,"Failing",IF(H94&gt;0,"Gaps","Fully tested"))))</f>
      </c>
    </row>
    <row r="95">
      <c r="A95" s="5"/>
      <c r="B95" s="5"/>
      <c r="C95" s="5"/>
      <c r="D95" s="5"/>
      <c r="E95" s="5"/>
      <c r="F95" s="6">
        <f>IF(A95="","",COUNTIF('Functional Reqs'!$C$2:$C$101,A95)+COUNTIF('Functional Reqs'!$D$2:$D$101,A95))</f>
      </c>
      <c r="G95" s="6">
        <f>IF(A95="","",COUNTIFS('Functional Reqs'!$C$2:$C$101,A95,'Functional Reqs'!$J$2:$J$101,"Failing")+COUNTIFS('Functional Reqs'!$D$2:$D$101,A95,'Functional Reqs'!$J$2:$J$101,"Failing"))</f>
      </c>
      <c r="H95" s="6">
        <f>IF(A95="","",COUNTIFS('Functional Reqs'!$C$2:$C$101,A95,'Functional Reqs'!$J$2:$J$101,"No tests")+COUNTIFS('Functional Reqs'!$D$2:$D$101,A95,'Functional Reqs'!$J$2:$J$101,"No tests")+COUNTIFS('Functional Reqs'!$C$2:$C$101,A95,'Functional Reqs'!$J$2:$J$101,"Not run yet")+COUNTIFS('Functional Reqs'!$D$2:$D$101,A95,'Functional Reqs'!$J$2:$J$101,"Not run yet"))</f>
      </c>
      <c r="I95" s="6">
        <f>IF(A95="","",IF(F95=0,"Not traced",IF(G95&gt;0,"Failing",IF(H95&gt;0,"Gaps","Fully tested"))))</f>
      </c>
    </row>
    <row r="96">
      <c r="A96" s="5"/>
      <c r="B96" s="5"/>
      <c r="C96" s="5"/>
      <c r="D96" s="5"/>
      <c r="E96" s="5"/>
      <c r="F96" s="6">
        <f>IF(A96="","",COUNTIF('Functional Reqs'!$C$2:$C$101,A96)+COUNTIF('Functional Reqs'!$D$2:$D$101,A96))</f>
      </c>
      <c r="G96" s="6">
        <f>IF(A96="","",COUNTIFS('Functional Reqs'!$C$2:$C$101,A96,'Functional Reqs'!$J$2:$J$101,"Failing")+COUNTIFS('Functional Reqs'!$D$2:$D$101,A96,'Functional Reqs'!$J$2:$J$101,"Failing"))</f>
      </c>
      <c r="H96" s="6">
        <f>IF(A96="","",COUNTIFS('Functional Reqs'!$C$2:$C$101,A96,'Functional Reqs'!$J$2:$J$101,"No tests")+COUNTIFS('Functional Reqs'!$D$2:$D$101,A96,'Functional Reqs'!$J$2:$J$101,"No tests")+COUNTIFS('Functional Reqs'!$C$2:$C$101,A96,'Functional Reqs'!$J$2:$J$101,"Not run yet")+COUNTIFS('Functional Reqs'!$D$2:$D$101,A96,'Functional Reqs'!$J$2:$J$101,"Not run yet"))</f>
      </c>
      <c r="I96" s="6">
        <f>IF(A96="","",IF(F96=0,"Not traced",IF(G96&gt;0,"Failing",IF(H96&gt;0,"Gaps","Fully tested"))))</f>
      </c>
    </row>
    <row r="97">
      <c r="A97" s="5"/>
      <c r="B97" s="5"/>
      <c r="C97" s="5"/>
      <c r="D97" s="5"/>
      <c r="E97" s="5"/>
      <c r="F97" s="6">
        <f>IF(A97="","",COUNTIF('Functional Reqs'!$C$2:$C$101,A97)+COUNTIF('Functional Reqs'!$D$2:$D$101,A97))</f>
      </c>
      <c r="G97" s="6">
        <f>IF(A97="","",COUNTIFS('Functional Reqs'!$C$2:$C$101,A97,'Functional Reqs'!$J$2:$J$101,"Failing")+COUNTIFS('Functional Reqs'!$D$2:$D$101,A97,'Functional Reqs'!$J$2:$J$101,"Failing"))</f>
      </c>
      <c r="H97" s="6">
        <f>IF(A97="","",COUNTIFS('Functional Reqs'!$C$2:$C$101,A97,'Functional Reqs'!$J$2:$J$101,"No tests")+COUNTIFS('Functional Reqs'!$D$2:$D$101,A97,'Functional Reqs'!$J$2:$J$101,"No tests")+COUNTIFS('Functional Reqs'!$C$2:$C$101,A97,'Functional Reqs'!$J$2:$J$101,"Not run yet")+COUNTIFS('Functional Reqs'!$D$2:$D$101,A97,'Functional Reqs'!$J$2:$J$101,"Not run yet"))</f>
      </c>
      <c r="I97" s="6">
        <f>IF(A97="","",IF(F97=0,"Not traced",IF(G97&gt;0,"Failing",IF(H97&gt;0,"Gaps","Fully tested"))))</f>
      </c>
    </row>
    <row r="98">
      <c r="A98" s="5"/>
      <c r="B98" s="5"/>
      <c r="C98" s="5"/>
      <c r="D98" s="5"/>
      <c r="E98" s="5"/>
      <c r="F98" s="6">
        <f>IF(A98="","",COUNTIF('Functional Reqs'!$C$2:$C$101,A98)+COUNTIF('Functional Reqs'!$D$2:$D$101,A98))</f>
      </c>
      <c r="G98" s="6">
        <f>IF(A98="","",COUNTIFS('Functional Reqs'!$C$2:$C$101,A98,'Functional Reqs'!$J$2:$J$101,"Failing")+COUNTIFS('Functional Reqs'!$D$2:$D$101,A98,'Functional Reqs'!$J$2:$J$101,"Failing"))</f>
      </c>
      <c r="H98" s="6">
        <f>IF(A98="","",COUNTIFS('Functional Reqs'!$C$2:$C$101,A98,'Functional Reqs'!$J$2:$J$101,"No tests")+COUNTIFS('Functional Reqs'!$D$2:$D$101,A98,'Functional Reqs'!$J$2:$J$101,"No tests")+COUNTIFS('Functional Reqs'!$C$2:$C$101,A98,'Functional Reqs'!$J$2:$J$101,"Not run yet")+COUNTIFS('Functional Reqs'!$D$2:$D$101,A98,'Functional Reqs'!$J$2:$J$101,"Not run yet"))</f>
      </c>
      <c r="I98" s="6">
        <f>IF(A98="","",IF(F98=0,"Not traced",IF(G98&gt;0,"Failing",IF(H98&gt;0,"Gaps","Fully tested"))))</f>
      </c>
    </row>
    <row r="99">
      <c r="A99" s="5"/>
      <c r="B99" s="5"/>
      <c r="C99" s="5"/>
      <c r="D99" s="5"/>
      <c r="E99" s="5"/>
      <c r="F99" s="6">
        <f>IF(A99="","",COUNTIF('Functional Reqs'!$C$2:$C$101,A99)+COUNTIF('Functional Reqs'!$D$2:$D$101,A99))</f>
      </c>
      <c r="G99" s="6">
        <f>IF(A99="","",COUNTIFS('Functional Reqs'!$C$2:$C$101,A99,'Functional Reqs'!$J$2:$J$101,"Failing")+COUNTIFS('Functional Reqs'!$D$2:$D$101,A99,'Functional Reqs'!$J$2:$J$101,"Failing"))</f>
      </c>
      <c r="H99" s="6">
        <f>IF(A99="","",COUNTIFS('Functional Reqs'!$C$2:$C$101,A99,'Functional Reqs'!$J$2:$J$101,"No tests")+COUNTIFS('Functional Reqs'!$D$2:$D$101,A99,'Functional Reqs'!$J$2:$J$101,"No tests")+COUNTIFS('Functional Reqs'!$C$2:$C$101,A99,'Functional Reqs'!$J$2:$J$101,"Not run yet")+COUNTIFS('Functional Reqs'!$D$2:$D$101,A99,'Functional Reqs'!$J$2:$J$101,"Not run yet"))</f>
      </c>
      <c r="I99" s="6">
        <f>IF(A99="","",IF(F99=0,"Not traced",IF(G99&gt;0,"Failing",IF(H99&gt;0,"Gaps","Fully tested"))))</f>
      </c>
    </row>
    <row r="100">
      <c r="A100" s="5"/>
      <c r="B100" s="5"/>
      <c r="C100" s="5"/>
      <c r="D100" s="5"/>
      <c r="E100" s="5"/>
      <c r="F100" s="6">
        <f>IF(A100="","",COUNTIF('Functional Reqs'!$C$2:$C$101,A100)+COUNTIF('Functional Reqs'!$D$2:$D$101,A100))</f>
      </c>
      <c r="G100" s="6">
        <f>IF(A100="","",COUNTIFS('Functional Reqs'!$C$2:$C$101,A100,'Functional Reqs'!$J$2:$J$101,"Failing")+COUNTIFS('Functional Reqs'!$D$2:$D$101,A100,'Functional Reqs'!$J$2:$J$101,"Failing"))</f>
      </c>
      <c r="H100" s="6">
        <f>IF(A100="","",COUNTIFS('Functional Reqs'!$C$2:$C$101,A100,'Functional Reqs'!$J$2:$J$101,"No tests")+COUNTIFS('Functional Reqs'!$D$2:$D$101,A100,'Functional Reqs'!$J$2:$J$101,"No tests")+COUNTIFS('Functional Reqs'!$C$2:$C$101,A100,'Functional Reqs'!$J$2:$J$101,"Not run yet")+COUNTIFS('Functional Reqs'!$D$2:$D$101,A100,'Functional Reqs'!$J$2:$J$101,"Not run yet"))</f>
      </c>
      <c r="I100" s="6">
        <f>IF(A100="","",IF(F100=0,"Not traced",IF(G100&gt;0,"Failing",IF(H100&gt;0,"Gaps","Fully tested"))))</f>
      </c>
    </row>
    <row r="101">
      <c r="A101" s="5"/>
      <c r="B101" s="5"/>
      <c r="C101" s="5"/>
      <c r="D101" s="5"/>
      <c r="E101" s="5"/>
      <c r="F101" s="6">
        <f>IF(A101="","",COUNTIF('Functional Reqs'!$C$2:$C$101,A101)+COUNTIF('Functional Reqs'!$D$2:$D$101,A101))</f>
      </c>
      <c r="G101" s="6">
        <f>IF(A101="","",COUNTIFS('Functional Reqs'!$C$2:$C$101,A101,'Functional Reqs'!$J$2:$J$101,"Failing")+COUNTIFS('Functional Reqs'!$D$2:$D$101,A101,'Functional Reqs'!$J$2:$J$101,"Failing"))</f>
      </c>
      <c r="H101" s="6">
        <f>IF(A101="","",COUNTIFS('Functional Reqs'!$C$2:$C$101,A101,'Functional Reqs'!$J$2:$J$101,"No tests")+COUNTIFS('Functional Reqs'!$D$2:$D$101,A101,'Functional Reqs'!$J$2:$J$101,"No tests")+COUNTIFS('Functional Reqs'!$C$2:$C$101,A101,'Functional Reqs'!$J$2:$J$101,"Not run yet")+COUNTIFS('Functional Reqs'!$D$2:$D$101,A101,'Functional Reqs'!$J$2:$J$101,"Not run yet"))</f>
      </c>
      <c r="I101" s="6">
        <f>IF(A101="","",IF(F101=0,"Not traced",IF(G101&gt;0,"Failing",IF(H101&gt;0,"Gaps","Fully tested"))))</f>
      </c>
    </row>
  </sheetData>
  <conditionalFormatting sqref="I2:I101">
    <cfRule type="expression" priority="1" dxfId="0">
      <formula>$I2="Failing"</formula>
    </cfRule>
    <cfRule type="expression" priority="2" dxfId="1">
      <formula>$I2="Gaps"</formula>
    </cfRule>
    <cfRule type="expression" priority="3" dxfId="2">
      <formula>$I2="Not traced"</formula>
    </cfRule>
    <cfRule type="expression" priority="4" dxfId="3">
      <formula>$I2="Fully tested"</formula>
    </cfRule>
  </conditionalFormatting>
  <dataValidations count="1">
    <dataValidation type="list" allowBlank="1" sqref="D2:D101">
      <formula1>Lists!$A$2:$A$5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9" customWidth="1"/>
    <col min="2" max="2" width="44" customWidth="1"/>
    <col min="3" max="3" width="11" customWidth="1"/>
    <col min="4" max="4" width="13" customWidth="1"/>
    <col min="5" max="5" width="44" customWidth="1"/>
    <col min="6" max="6" width="13" customWidth="1"/>
    <col min="7" max="7" width="9" customWidth="1"/>
    <col min="8" max="8" width="9" customWidth="1"/>
    <col min="9" max="9" width="9" customWidth="1"/>
    <col min="10" max="10" width="14" customWidth="1"/>
  </cols>
  <sheetData>
    <row r="1" ht="32" customHeight="1">
      <c r="A1" s="4" t="inlineStr">
        <is>
          <t>FR ID</t>
        </is>
      </c>
      <c r="B1" s="4" t="inlineStr">
        <is>
          <t>Functional requirement</t>
        </is>
      </c>
      <c r="C1" s="4" t="inlineStr">
        <is>
          <t>Serves BR</t>
        </is>
      </c>
      <c r="D1" s="4" t="inlineStr">
        <is>
          <t>Also serves BR (optional)</t>
        </is>
      </c>
      <c r="E1" s="4" t="inlineStr">
        <is>
          <t>Acceptance criteria</t>
        </is>
      </c>
      <c r="F1" s="4" t="inlineStr">
        <is>
          <t>Build status</t>
        </is>
      </c>
      <c r="G1" s="4" t="inlineStr">
        <is>
          <t>Tests linked</t>
        </is>
      </c>
      <c r="H1" s="4" t="inlineStr">
        <is>
          <t>Tests passed</t>
        </is>
      </c>
      <c r="I1" s="4" t="inlineStr">
        <is>
          <t>Tests failed</t>
        </is>
      </c>
      <c r="J1" s="4" t="inlineStr">
        <is>
          <t>Coverage</t>
        </is>
      </c>
    </row>
    <row r="2">
      <c r="A2" s="5" t="inlineStr">
        <is>
          <t>FR-1</t>
        </is>
      </c>
      <c r="B2" s="5" t="inlineStr">
        <is>
          <t>Customer can start a refund from their order history page</t>
        </is>
      </c>
      <c r="C2" s="5" t="inlineStr">
        <is>
          <t>BR-1</t>
        </is>
      </c>
      <c r="D2" s="5"/>
      <c r="E2" s="5" t="inlineStr">
        <is>
          <t>Given a delivered order under 30 days old, when the customer selects Refund, then a refund request is created and confirmed on screen</t>
        </is>
      </c>
      <c r="F2" s="5" t="inlineStr">
        <is>
          <t>Built</t>
        </is>
      </c>
      <c r="G2" s="6">
        <f>IF(A2="","",COUNTIF('Test Cases'!$C$2:$C$101,A2))</f>
      </c>
      <c r="H2" s="6">
        <f>IF(A2="","",COUNTIFS('Test Cases'!$C$2:$C$101,A2,'Test Cases'!$D$2:$D$101,"Pass"))</f>
      </c>
      <c r="I2" s="6">
        <f>IF(A2="","",COUNTIFS('Test Cases'!$C$2:$C$101,A2,'Test Cases'!$D$2:$D$101,"Fail"))</f>
      </c>
      <c r="J2" s="6">
        <f>IF(A2="","",IF(G2=0,"No tests",IF(I2&gt;0,"Failing",IF(H2&lt;G2,"Not run yet","Passing"))))</f>
      </c>
    </row>
    <row r="3">
      <c r="A3" s="5" t="inlineStr">
        <is>
          <t>FR-2</t>
        </is>
      </c>
      <c r="B3" s="5" t="inlineStr">
        <is>
          <t>Refunds under 50 dollars are approved automatically</t>
        </is>
      </c>
      <c r="C3" s="5" t="inlineStr">
        <is>
          <t>BR-2</t>
        </is>
      </c>
      <c r="D3" s="5"/>
      <c r="E3" s="5" t="inlineStr">
        <is>
          <t>Given a request under 50 dollars, when it is submitted, then it is approved with no manual step</t>
        </is>
      </c>
      <c r="F3" s="5" t="inlineStr">
        <is>
          <t>In progress</t>
        </is>
      </c>
      <c r="G3" s="6">
        <f>IF(A3="","",COUNTIF('Test Cases'!$C$2:$C$101,A3))</f>
      </c>
      <c r="H3" s="6">
        <f>IF(A3="","",COUNTIFS('Test Cases'!$C$2:$C$101,A3,'Test Cases'!$D$2:$D$101,"Pass"))</f>
      </c>
      <c r="I3" s="6">
        <f>IF(A3="","",COUNTIFS('Test Cases'!$C$2:$C$101,A3,'Test Cases'!$D$2:$D$101,"Fail"))</f>
      </c>
      <c r="J3" s="6">
        <f>IF(A3="","",IF(G3=0,"No tests",IF(I3&gt;0,"Failing",IF(H3&lt;G3,"Not run yet","Passing"))))</f>
      </c>
    </row>
    <row r="4">
      <c r="A4" s="5" t="inlineStr">
        <is>
          <t>FR-3</t>
        </is>
      </c>
      <c r="B4" s="5" t="inlineStr">
        <is>
          <t>Approved refunds are sent to the payment gateway within one hour</t>
        </is>
      </c>
      <c r="C4" s="5" t="inlineStr">
        <is>
          <t>BR-2</t>
        </is>
      </c>
      <c r="D4" s="5"/>
      <c r="E4" s="5" t="inlineStr">
        <is>
          <t>Given an approved refund, when one hour has passed, then the gateway has accepted the payout</t>
        </is>
      </c>
      <c r="F4" s="5" t="inlineStr">
        <is>
          <t>Built</t>
        </is>
      </c>
      <c r="G4" s="6">
        <f>IF(A4="","",COUNTIF('Test Cases'!$C$2:$C$101,A4))</f>
      </c>
      <c r="H4" s="6">
        <f>IF(A4="","",COUNTIFS('Test Cases'!$C$2:$C$101,A4,'Test Cases'!$D$2:$D$101,"Pass"))</f>
      </c>
      <c r="I4" s="6">
        <f>IF(A4="","",COUNTIFS('Test Cases'!$C$2:$C$101,A4,'Test Cases'!$D$2:$D$101,"Fail"))</f>
      </c>
      <c r="J4" s="6">
        <f>IF(A4="","",IF(G4=0,"No tests",IF(I4&gt;0,"Failing",IF(H4&lt;G4,"Not run yet","Passing"))))</f>
      </c>
    </row>
    <row r="5">
      <c r="A5" s="5" t="inlineStr">
        <is>
          <t>FR-4</t>
        </is>
      </c>
      <c r="B5" s="5" t="inlineStr">
        <is>
          <t>Every refund decision is logged with who, when and why</t>
        </is>
      </c>
      <c r="C5" s="5" t="inlineStr">
        <is>
          <t>BR-3</t>
        </is>
      </c>
      <c r="D5" s="5"/>
      <c r="E5" s="5" t="inlineStr">
        <is>
          <t>Given any approval or rejection, then the log shows the actor, timestamp and reason</t>
        </is>
      </c>
      <c r="F5" s="5" t="inlineStr">
        <is>
          <t>Not started</t>
        </is>
      </c>
      <c r="G5" s="6">
        <f>IF(A5="","",COUNTIF('Test Cases'!$C$2:$C$101,A5))</f>
      </c>
      <c r="H5" s="6">
        <f>IF(A5="","",COUNTIFS('Test Cases'!$C$2:$C$101,A5,'Test Cases'!$D$2:$D$101,"Pass"))</f>
      </c>
      <c r="I5" s="6">
        <f>IF(A5="","",COUNTIFS('Test Cases'!$C$2:$C$101,A5,'Test Cases'!$D$2:$D$101,"Fail"))</f>
      </c>
      <c r="J5" s="6">
        <f>IF(A5="","",IF(G5=0,"No tests",IF(I5&gt;0,"Failing",IF(H5&lt;G5,"Not run yet","Passing"))))</f>
      </c>
    </row>
    <row r="6">
      <c r="A6" s="5"/>
      <c r="B6" s="5"/>
      <c r="C6" s="5"/>
      <c r="D6" s="5"/>
      <c r="E6" s="5"/>
      <c r="F6" s="5"/>
      <c r="G6" s="6">
        <f>IF(A6="","",COUNTIF('Test Cases'!$C$2:$C$101,A6))</f>
      </c>
      <c r="H6" s="6">
        <f>IF(A6="","",COUNTIFS('Test Cases'!$C$2:$C$101,A6,'Test Cases'!$D$2:$D$101,"Pass"))</f>
      </c>
      <c r="I6" s="6">
        <f>IF(A6="","",COUNTIFS('Test Cases'!$C$2:$C$101,A6,'Test Cases'!$D$2:$D$101,"Fail"))</f>
      </c>
      <c r="J6" s="6">
        <f>IF(A6="","",IF(G6=0,"No tests",IF(I6&gt;0,"Failing",IF(H6&lt;G6,"Not run yet","Passing"))))</f>
      </c>
    </row>
    <row r="7">
      <c r="A7" s="5"/>
      <c r="B7" s="5"/>
      <c r="C7" s="5"/>
      <c r="D7" s="5"/>
      <c r="E7" s="5"/>
      <c r="F7" s="5"/>
      <c r="G7" s="6">
        <f>IF(A7="","",COUNTIF('Test Cases'!$C$2:$C$101,A7))</f>
      </c>
      <c r="H7" s="6">
        <f>IF(A7="","",COUNTIFS('Test Cases'!$C$2:$C$101,A7,'Test Cases'!$D$2:$D$101,"Pass"))</f>
      </c>
      <c r="I7" s="6">
        <f>IF(A7="","",COUNTIFS('Test Cases'!$C$2:$C$101,A7,'Test Cases'!$D$2:$D$101,"Fail"))</f>
      </c>
      <c r="J7" s="6">
        <f>IF(A7="","",IF(G7=0,"No tests",IF(I7&gt;0,"Failing",IF(H7&lt;G7,"Not run yet","Passing"))))</f>
      </c>
    </row>
    <row r="8">
      <c r="A8" s="5"/>
      <c r="B8" s="5"/>
      <c r="C8" s="5"/>
      <c r="D8" s="5"/>
      <c r="E8" s="5"/>
      <c r="F8" s="5"/>
      <c r="G8" s="6">
        <f>IF(A8="","",COUNTIF('Test Cases'!$C$2:$C$101,A8))</f>
      </c>
      <c r="H8" s="6">
        <f>IF(A8="","",COUNTIFS('Test Cases'!$C$2:$C$101,A8,'Test Cases'!$D$2:$D$101,"Pass"))</f>
      </c>
      <c r="I8" s="6">
        <f>IF(A8="","",COUNTIFS('Test Cases'!$C$2:$C$101,A8,'Test Cases'!$D$2:$D$101,"Fail"))</f>
      </c>
      <c r="J8" s="6">
        <f>IF(A8="","",IF(G8=0,"No tests",IF(I8&gt;0,"Failing",IF(H8&lt;G8,"Not run yet","Passing"))))</f>
      </c>
    </row>
    <row r="9">
      <c r="A9" s="5"/>
      <c r="B9" s="5"/>
      <c r="C9" s="5"/>
      <c r="D9" s="5"/>
      <c r="E9" s="5"/>
      <c r="F9" s="5"/>
      <c r="G9" s="6">
        <f>IF(A9="","",COUNTIF('Test Cases'!$C$2:$C$101,A9))</f>
      </c>
      <c r="H9" s="6">
        <f>IF(A9="","",COUNTIFS('Test Cases'!$C$2:$C$101,A9,'Test Cases'!$D$2:$D$101,"Pass"))</f>
      </c>
      <c r="I9" s="6">
        <f>IF(A9="","",COUNTIFS('Test Cases'!$C$2:$C$101,A9,'Test Cases'!$D$2:$D$101,"Fail"))</f>
      </c>
      <c r="J9" s="6">
        <f>IF(A9="","",IF(G9=0,"No tests",IF(I9&gt;0,"Failing",IF(H9&lt;G9,"Not run yet","Passing"))))</f>
      </c>
    </row>
    <row r="10">
      <c r="A10" s="5"/>
      <c r="B10" s="5"/>
      <c r="C10" s="5"/>
      <c r="D10" s="5"/>
      <c r="E10" s="5"/>
      <c r="F10" s="5"/>
      <c r="G10" s="6">
        <f>IF(A10="","",COUNTIF('Test Cases'!$C$2:$C$101,A10))</f>
      </c>
      <c r="H10" s="6">
        <f>IF(A10="","",COUNTIFS('Test Cases'!$C$2:$C$101,A10,'Test Cases'!$D$2:$D$101,"Pass"))</f>
      </c>
      <c r="I10" s="6">
        <f>IF(A10="","",COUNTIFS('Test Cases'!$C$2:$C$101,A10,'Test Cases'!$D$2:$D$101,"Fail"))</f>
      </c>
      <c r="J10" s="6">
        <f>IF(A10="","",IF(G10=0,"No tests",IF(I10&gt;0,"Failing",IF(H10&lt;G10,"Not run yet","Passing"))))</f>
      </c>
    </row>
    <row r="11">
      <c r="A11" s="5"/>
      <c r="B11" s="5"/>
      <c r="C11" s="5"/>
      <c r="D11" s="5"/>
      <c r="E11" s="5"/>
      <c r="F11" s="5"/>
      <c r="G11" s="6">
        <f>IF(A11="","",COUNTIF('Test Cases'!$C$2:$C$101,A11))</f>
      </c>
      <c r="H11" s="6">
        <f>IF(A11="","",COUNTIFS('Test Cases'!$C$2:$C$101,A11,'Test Cases'!$D$2:$D$101,"Pass"))</f>
      </c>
      <c r="I11" s="6">
        <f>IF(A11="","",COUNTIFS('Test Cases'!$C$2:$C$101,A11,'Test Cases'!$D$2:$D$101,"Fail"))</f>
      </c>
      <c r="J11" s="6">
        <f>IF(A11="","",IF(G11=0,"No tests",IF(I11&gt;0,"Failing",IF(H11&lt;G11,"Not run yet","Passing"))))</f>
      </c>
    </row>
    <row r="12">
      <c r="A12" s="5"/>
      <c r="B12" s="5"/>
      <c r="C12" s="5"/>
      <c r="D12" s="5"/>
      <c r="E12" s="5"/>
      <c r="F12" s="5"/>
      <c r="G12" s="6">
        <f>IF(A12="","",COUNTIF('Test Cases'!$C$2:$C$101,A12))</f>
      </c>
      <c r="H12" s="6">
        <f>IF(A12="","",COUNTIFS('Test Cases'!$C$2:$C$101,A12,'Test Cases'!$D$2:$D$101,"Pass"))</f>
      </c>
      <c r="I12" s="6">
        <f>IF(A12="","",COUNTIFS('Test Cases'!$C$2:$C$101,A12,'Test Cases'!$D$2:$D$101,"Fail"))</f>
      </c>
      <c r="J12" s="6">
        <f>IF(A12="","",IF(G12=0,"No tests",IF(I12&gt;0,"Failing",IF(H12&lt;G12,"Not run yet","Passing"))))</f>
      </c>
    </row>
    <row r="13">
      <c r="A13" s="5"/>
      <c r="B13" s="5"/>
      <c r="C13" s="5"/>
      <c r="D13" s="5"/>
      <c r="E13" s="5"/>
      <c r="F13" s="5"/>
      <c r="G13" s="6">
        <f>IF(A13="","",COUNTIF('Test Cases'!$C$2:$C$101,A13))</f>
      </c>
      <c r="H13" s="6">
        <f>IF(A13="","",COUNTIFS('Test Cases'!$C$2:$C$101,A13,'Test Cases'!$D$2:$D$101,"Pass"))</f>
      </c>
      <c r="I13" s="6">
        <f>IF(A13="","",COUNTIFS('Test Cases'!$C$2:$C$101,A13,'Test Cases'!$D$2:$D$101,"Fail"))</f>
      </c>
      <c r="J13" s="6">
        <f>IF(A13="","",IF(G13=0,"No tests",IF(I13&gt;0,"Failing",IF(H13&lt;G13,"Not run yet","Passing"))))</f>
      </c>
    </row>
    <row r="14">
      <c r="A14" s="5"/>
      <c r="B14" s="5"/>
      <c r="C14" s="5"/>
      <c r="D14" s="5"/>
      <c r="E14" s="5"/>
      <c r="F14" s="5"/>
      <c r="G14" s="6">
        <f>IF(A14="","",COUNTIF('Test Cases'!$C$2:$C$101,A14))</f>
      </c>
      <c r="H14" s="6">
        <f>IF(A14="","",COUNTIFS('Test Cases'!$C$2:$C$101,A14,'Test Cases'!$D$2:$D$101,"Pass"))</f>
      </c>
      <c r="I14" s="6">
        <f>IF(A14="","",COUNTIFS('Test Cases'!$C$2:$C$101,A14,'Test Cases'!$D$2:$D$101,"Fail"))</f>
      </c>
      <c r="J14" s="6">
        <f>IF(A14="","",IF(G14=0,"No tests",IF(I14&gt;0,"Failing",IF(H14&lt;G14,"Not run yet","Passing"))))</f>
      </c>
    </row>
    <row r="15">
      <c r="A15" s="5"/>
      <c r="B15" s="5"/>
      <c r="C15" s="5"/>
      <c r="D15" s="5"/>
      <c r="E15" s="5"/>
      <c r="F15" s="5"/>
      <c r="G15" s="6">
        <f>IF(A15="","",COUNTIF('Test Cases'!$C$2:$C$101,A15))</f>
      </c>
      <c r="H15" s="6">
        <f>IF(A15="","",COUNTIFS('Test Cases'!$C$2:$C$101,A15,'Test Cases'!$D$2:$D$101,"Pass"))</f>
      </c>
      <c r="I15" s="6">
        <f>IF(A15="","",COUNTIFS('Test Cases'!$C$2:$C$101,A15,'Test Cases'!$D$2:$D$101,"Fail"))</f>
      </c>
      <c r="J15" s="6">
        <f>IF(A15="","",IF(G15=0,"No tests",IF(I15&gt;0,"Failing",IF(H15&lt;G15,"Not run yet","Passing"))))</f>
      </c>
    </row>
    <row r="16">
      <c r="A16" s="5"/>
      <c r="B16" s="5"/>
      <c r="C16" s="5"/>
      <c r="D16" s="5"/>
      <c r="E16" s="5"/>
      <c r="F16" s="5"/>
      <c r="G16" s="6">
        <f>IF(A16="","",COUNTIF('Test Cases'!$C$2:$C$101,A16))</f>
      </c>
      <c r="H16" s="6">
        <f>IF(A16="","",COUNTIFS('Test Cases'!$C$2:$C$101,A16,'Test Cases'!$D$2:$D$101,"Pass"))</f>
      </c>
      <c r="I16" s="6">
        <f>IF(A16="","",COUNTIFS('Test Cases'!$C$2:$C$101,A16,'Test Cases'!$D$2:$D$101,"Fail"))</f>
      </c>
      <c r="J16" s="6">
        <f>IF(A16="","",IF(G16=0,"No tests",IF(I16&gt;0,"Failing",IF(H16&lt;G16,"Not run yet","Passing"))))</f>
      </c>
    </row>
    <row r="17">
      <c r="A17" s="5"/>
      <c r="B17" s="5"/>
      <c r="C17" s="5"/>
      <c r="D17" s="5"/>
      <c r="E17" s="5"/>
      <c r="F17" s="5"/>
      <c r="G17" s="6">
        <f>IF(A17="","",COUNTIF('Test Cases'!$C$2:$C$101,A17))</f>
      </c>
      <c r="H17" s="6">
        <f>IF(A17="","",COUNTIFS('Test Cases'!$C$2:$C$101,A17,'Test Cases'!$D$2:$D$101,"Pass"))</f>
      </c>
      <c r="I17" s="6">
        <f>IF(A17="","",COUNTIFS('Test Cases'!$C$2:$C$101,A17,'Test Cases'!$D$2:$D$101,"Fail"))</f>
      </c>
      <c r="J17" s="6">
        <f>IF(A17="","",IF(G17=0,"No tests",IF(I17&gt;0,"Failing",IF(H17&lt;G17,"Not run yet","Passing"))))</f>
      </c>
    </row>
    <row r="18">
      <c r="A18" s="5"/>
      <c r="B18" s="5"/>
      <c r="C18" s="5"/>
      <c r="D18" s="5"/>
      <c r="E18" s="5"/>
      <c r="F18" s="5"/>
      <c r="G18" s="6">
        <f>IF(A18="","",COUNTIF('Test Cases'!$C$2:$C$101,A18))</f>
      </c>
      <c r="H18" s="6">
        <f>IF(A18="","",COUNTIFS('Test Cases'!$C$2:$C$101,A18,'Test Cases'!$D$2:$D$101,"Pass"))</f>
      </c>
      <c r="I18" s="6">
        <f>IF(A18="","",COUNTIFS('Test Cases'!$C$2:$C$101,A18,'Test Cases'!$D$2:$D$101,"Fail"))</f>
      </c>
      <c r="J18" s="6">
        <f>IF(A18="","",IF(G18=0,"No tests",IF(I18&gt;0,"Failing",IF(H18&lt;G18,"Not run yet","Passing"))))</f>
      </c>
    </row>
    <row r="19">
      <c r="A19" s="5"/>
      <c r="B19" s="5"/>
      <c r="C19" s="5"/>
      <c r="D19" s="5"/>
      <c r="E19" s="5"/>
      <c r="F19" s="5"/>
      <c r="G19" s="6">
        <f>IF(A19="","",COUNTIF('Test Cases'!$C$2:$C$101,A19))</f>
      </c>
      <c r="H19" s="6">
        <f>IF(A19="","",COUNTIFS('Test Cases'!$C$2:$C$101,A19,'Test Cases'!$D$2:$D$101,"Pass"))</f>
      </c>
      <c r="I19" s="6">
        <f>IF(A19="","",COUNTIFS('Test Cases'!$C$2:$C$101,A19,'Test Cases'!$D$2:$D$101,"Fail"))</f>
      </c>
      <c r="J19" s="6">
        <f>IF(A19="","",IF(G19=0,"No tests",IF(I19&gt;0,"Failing",IF(H19&lt;G19,"Not run yet","Passing"))))</f>
      </c>
    </row>
    <row r="20">
      <c r="A20" s="5"/>
      <c r="B20" s="5"/>
      <c r="C20" s="5"/>
      <c r="D20" s="5"/>
      <c r="E20" s="5"/>
      <c r="F20" s="5"/>
      <c r="G20" s="6">
        <f>IF(A20="","",COUNTIF('Test Cases'!$C$2:$C$101,A20))</f>
      </c>
      <c r="H20" s="6">
        <f>IF(A20="","",COUNTIFS('Test Cases'!$C$2:$C$101,A20,'Test Cases'!$D$2:$D$101,"Pass"))</f>
      </c>
      <c r="I20" s="6">
        <f>IF(A20="","",COUNTIFS('Test Cases'!$C$2:$C$101,A20,'Test Cases'!$D$2:$D$101,"Fail"))</f>
      </c>
      <c r="J20" s="6">
        <f>IF(A20="","",IF(G20=0,"No tests",IF(I20&gt;0,"Failing",IF(H20&lt;G20,"Not run yet","Passing"))))</f>
      </c>
    </row>
    <row r="21">
      <c r="A21" s="5"/>
      <c r="B21" s="5"/>
      <c r="C21" s="5"/>
      <c r="D21" s="5"/>
      <c r="E21" s="5"/>
      <c r="F21" s="5"/>
      <c r="G21" s="6">
        <f>IF(A21="","",COUNTIF('Test Cases'!$C$2:$C$101,A21))</f>
      </c>
      <c r="H21" s="6">
        <f>IF(A21="","",COUNTIFS('Test Cases'!$C$2:$C$101,A21,'Test Cases'!$D$2:$D$101,"Pass"))</f>
      </c>
      <c r="I21" s="6">
        <f>IF(A21="","",COUNTIFS('Test Cases'!$C$2:$C$101,A21,'Test Cases'!$D$2:$D$101,"Fail"))</f>
      </c>
      <c r="J21" s="6">
        <f>IF(A21="","",IF(G21=0,"No tests",IF(I21&gt;0,"Failing",IF(H21&lt;G21,"Not run yet","Passing"))))</f>
      </c>
    </row>
    <row r="22">
      <c r="A22" s="5"/>
      <c r="B22" s="5"/>
      <c r="C22" s="5"/>
      <c r="D22" s="5"/>
      <c r="E22" s="5"/>
      <c r="F22" s="5"/>
      <c r="G22" s="6">
        <f>IF(A22="","",COUNTIF('Test Cases'!$C$2:$C$101,A22))</f>
      </c>
      <c r="H22" s="6">
        <f>IF(A22="","",COUNTIFS('Test Cases'!$C$2:$C$101,A22,'Test Cases'!$D$2:$D$101,"Pass"))</f>
      </c>
      <c r="I22" s="6">
        <f>IF(A22="","",COUNTIFS('Test Cases'!$C$2:$C$101,A22,'Test Cases'!$D$2:$D$101,"Fail"))</f>
      </c>
      <c r="J22" s="6">
        <f>IF(A22="","",IF(G22=0,"No tests",IF(I22&gt;0,"Failing",IF(H22&lt;G22,"Not run yet","Passing"))))</f>
      </c>
    </row>
    <row r="23">
      <c r="A23" s="5"/>
      <c r="B23" s="5"/>
      <c r="C23" s="5"/>
      <c r="D23" s="5"/>
      <c r="E23" s="5"/>
      <c r="F23" s="5"/>
      <c r="G23" s="6">
        <f>IF(A23="","",COUNTIF('Test Cases'!$C$2:$C$101,A23))</f>
      </c>
      <c r="H23" s="6">
        <f>IF(A23="","",COUNTIFS('Test Cases'!$C$2:$C$101,A23,'Test Cases'!$D$2:$D$101,"Pass"))</f>
      </c>
      <c r="I23" s="6">
        <f>IF(A23="","",COUNTIFS('Test Cases'!$C$2:$C$101,A23,'Test Cases'!$D$2:$D$101,"Fail"))</f>
      </c>
      <c r="J23" s="6">
        <f>IF(A23="","",IF(G23=0,"No tests",IF(I23&gt;0,"Failing",IF(H23&lt;G23,"Not run yet","Passing"))))</f>
      </c>
    </row>
    <row r="24">
      <c r="A24" s="5"/>
      <c r="B24" s="5"/>
      <c r="C24" s="5"/>
      <c r="D24" s="5"/>
      <c r="E24" s="5"/>
      <c r="F24" s="5"/>
      <c r="G24" s="6">
        <f>IF(A24="","",COUNTIF('Test Cases'!$C$2:$C$101,A24))</f>
      </c>
      <c r="H24" s="6">
        <f>IF(A24="","",COUNTIFS('Test Cases'!$C$2:$C$101,A24,'Test Cases'!$D$2:$D$101,"Pass"))</f>
      </c>
      <c r="I24" s="6">
        <f>IF(A24="","",COUNTIFS('Test Cases'!$C$2:$C$101,A24,'Test Cases'!$D$2:$D$101,"Fail"))</f>
      </c>
      <c r="J24" s="6">
        <f>IF(A24="","",IF(G24=0,"No tests",IF(I24&gt;0,"Failing",IF(H24&lt;G24,"Not run yet","Passing"))))</f>
      </c>
    </row>
    <row r="25">
      <c r="A25" s="5"/>
      <c r="B25" s="5"/>
      <c r="C25" s="5"/>
      <c r="D25" s="5"/>
      <c r="E25" s="5"/>
      <c r="F25" s="5"/>
      <c r="G25" s="6">
        <f>IF(A25="","",COUNTIF('Test Cases'!$C$2:$C$101,A25))</f>
      </c>
      <c r="H25" s="6">
        <f>IF(A25="","",COUNTIFS('Test Cases'!$C$2:$C$101,A25,'Test Cases'!$D$2:$D$101,"Pass"))</f>
      </c>
      <c r="I25" s="6">
        <f>IF(A25="","",COUNTIFS('Test Cases'!$C$2:$C$101,A25,'Test Cases'!$D$2:$D$101,"Fail"))</f>
      </c>
      <c r="J25" s="6">
        <f>IF(A25="","",IF(G25=0,"No tests",IF(I25&gt;0,"Failing",IF(H25&lt;G25,"Not run yet","Passing"))))</f>
      </c>
    </row>
    <row r="26">
      <c r="A26" s="5"/>
      <c r="B26" s="5"/>
      <c r="C26" s="5"/>
      <c r="D26" s="5"/>
      <c r="E26" s="5"/>
      <c r="F26" s="5"/>
      <c r="G26" s="6">
        <f>IF(A26="","",COUNTIF('Test Cases'!$C$2:$C$101,A26))</f>
      </c>
      <c r="H26" s="6">
        <f>IF(A26="","",COUNTIFS('Test Cases'!$C$2:$C$101,A26,'Test Cases'!$D$2:$D$101,"Pass"))</f>
      </c>
      <c r="I26" s="6">
        <f>IF(A26="","",COUNTIFS('Test Cases'!$C$2:$C$101,A26,'Test Cases'!$D$2:$D$101,"Fail"))</f>
      </c>
      <c r="J26" s="6">
        <f>IF(A26="","",IF(G26=0,"No tests",IF(I26&gt;0,"Failing",IF(H26&lt;G26,"Not run yet","Passing"))))</f>
      </c>
    </row>
    <row r="27">
      <c r="A27" s="5"/>
      <c r="B27" s="5"/>
      <c r="C27" s="5"/>
      <c r="D27" s="5"/>
      <c r="E27" s="5"/>
      <c r="F27" s="5"/>
      <c r="G27" s="6">
        <f>IF(A27="","",COUNTIF('Test Cases'!$C$2:$C$101,A27))</f>
      </c>
      <c r="H27" s="6">
        <f>IF(A27="","",COUNTIFS('Test Cases'!$C$2:$C$101,A27,'Test Cases'!$D$2:$D$101,"Pass"))</f>
      </c>
      <c r="I27" s="6">
        <f>IF(A27="","",COUNTIFS('Test Cases'!$C$2:$C$101,A27,'Test Cases'!$D$2:$D$101,"Fail"))</f>
      </c>
      <c r="J27" s="6">
        <f>IF(A27="","",IF(G27=0,"No tests",IF(I27&gt;0,"Failing",IF(H27&lt;G27,"Not run yet","Passing"))))</f>
      </c>
    </row>
    <row r="28">
      <c r="A28" s="5"/>
      <c r="B28" s="5"/>
      <c r="C28" s="5"/>
      <c r="D28" s="5"/>
      <c r="E28" s="5"/>
      <c r="F28" s="5"/>
      <c r="G28" s="6">
        <f>IF(A28="","",COUNTIF('Test Cases'!$C$2:$C$101,A28))</f>
      </c>
      <c r="H28" s="6">
        <f>IF(A28="","",COUNTIFS('Test Cases'!$C$2:$C$101,A28,'Test Cases'!$D$2:$D$101,"Pass"))</f>
      </c>
      <c r="I28" s="6">
        <f>IF(A28="","",COUNTIFS('Test Cases'!$C$2:$C$101,A28,'Test Cases'!$D$2:$D$101,"Fail"))</f>
      </c>
      <c r="J28" s="6">
        <f>IF(A28="","",IF(G28=0,"No tests",IF(I28&gt;0,"Failing",IF(H28&lt;G28,"Not run yet","Passing"))))</f>
      </c>
    </row>
    <row r="29">
      <c r="A29" s="5"/>
      <c r="B29" s="5"/>
      <c r="C29" s="5"/>
      <c r="D29" s="5"/>
      <c r="E29" s="5"/>
      <c r="F29" s="5"/>
      <c r="G29" s="6">
        <f>IF(A29="","",COUNTIF('Test Cases'!$C$2:$C$101,A29))</f>
      </c>
      <c r="H29" s="6">
        <f>IF(A29="","",COUNTIFS('Test Cases'!$C$2:$C$101,A29,'Test Cases'!$D$2:$D$101,"Pass"))</f>
      </c>
      <c r="I29" s="6">
        <f>IF(A29="","",COUNTIFS('Test Cases'!$C$2:$C$101,A29,'Test Cases'!$D$2:$D$101,"Fail"))</f>
      </c>
      <c r="J29" s="6">
        <f>IF(A29="","",IF(G29=0,"No tests",IF(I29&gt;0,"Failing",IF(H29&lt;G29,"Not run yet","Passing"))))</f>
      </c>
    </row>
    <row r="30">
      <c r="A30" s="5"/>
      <c r="B30" s="5"/>
      <c r="C30" s="5"/>
      <c r="D30" s="5"/>
      <c r="E30" s="5"/>
      <c r="F30" s="5"/>
      <c r="G30" s="6">
        <f>IF(A30="","",COUNTIF('Test Cases'!$C$2:$C$101,A30))</f>
      </c>
      <c r="H30" s="6">
        <f>IF(A30="","",COUNTIFS('Test Cases'!$C$2:$C$101,A30,'Test Cases'!$D$2:$D$101,"Pass"))</f>
      </c>
      <c r="I30" s="6">
        <f>IF(A30="","",COUNTIFS('Test Cases'!$C$2:$C$101,A30,'Test Cases'!$D$2:$D$101,"Fail"))</f>
      </c>
      <c r="J30" s="6">
        <f>IF(A30="","",IF(G30=0,"No tests",IF(I30&gt;0,"Failing",IF(H30&lt;G30,"Not run yet","Passing"))))</f>
      </c>
    </row>
    <row r="31">
      <c r="A31" s="5"/>
      <c r="B31" s="5"/>
      <c r="C31" s="5"/>
      <c r="D31" s="5"/>
      <c r="E31" s="5"/>
      <c r="F31" s="5"/>
      <c r="G31" s="6">
        <f>IF(A31="","",COUNTIF('Test Cases'!$C$2:$C$101,A31))</f>
      </c>
      <c r="H31" s="6">
        <f>IF(A31="","",COUNTIFS('Test Cases'!$C$2:$C$101,A31,'Test Cases'!$D$2:$D$101,"Pass"))</f>
      </c>
      <c r="I31" s="6">
        <f>IF(A31="","",COUNTIFS('Test Cases'!$C$2:$C$101,A31,'Test Cases'!$D$2:$D$101,"Fail"))</f>
      </c>
      <c r="J31" s="6">
        <f>IF(A31="","",IF(G31=0,"No tests",IF(I31&gt;0,"Failing",IF(H31&lt;G31,"Not run yet","Passing"))))</f>
      </c>
    </row>
    <row r="32">
      <c r="A32" s="5"/>
      <c r="B32" s="5"/>
      <c r="C32" s="5"/>
      <c r="D32" s="5"/>
      <c r="E32" s="5"/>
      <c r="F32" s="5"/>
      <c r="G32" s="6">
        <f>IF(A32="","",COUNTIF('Test Cases'!$C$2:$C$101,A32))</f>
      </c>
      <c r="H32" s="6">
        <f>IF(A32="","",COUNTIFS('Test Cases'!$C$2:$C$101,A32,'Test Cases'!$D$2:$D$101,"Pass"))</f>
      </c>
      <c r="I32" s="6">
        <f>IF(A32="","",COUNTIFS('Test Cases'!$C$2:$C$101,A32,'Test Cases'!$D$2:$D$101,"Fail"))</f>
      </c>
      <c r="J32" s="6">
        <f>IF(A32="","",IF(G32=0,"No tests",IF(I32&gt;0,"Failing",IF(H32&lt;G32,"Not run yet","Passing"))))</f>
      </c>
    </row>
    <row r="33">
      <c r="A33" s="5"/>
      <c r="B33" s="5"/>
      <c r="C33" s="5"/>
      <c r="D33" s="5"/>
      <c r="E33" s="5"/>
      <c r="F33" s="5"/>
      <c r="G33" s="6">
        <f>IF(A33="","",COUNTIF('Test Cases'!$C$2:$C$101,A33))</f>
      </c>
      <c r="H33" s="6">
        <f>IF(A33="","",COUNTIFS('Test Cases'!$C$2:$C$101,A33,'Test Cases'!$D$2:$D$101,"Pass"))</f>
      </c>
      <c r="I33" s="6">
        <f>IF(A33="","",COUNTIFS('Test Cases'!$C$2:$C$101,A33,'Test Cases'!$D$2:$D$101,"Fail"))</f>
      </c>
      <c r="J33" s="6">
        <f>IF(A33="","",IF(G33=0,"No tests",IF(I33&gt;0,"Failing",IF(H33&lt;G33,"Not run yet","Passing"))))</f>
      </c>
    </row>
    <row r="34">
      <c r="A34" s="5"/>
      <c r="B34" s="5"/>
      <c r="C34" s="5"/>
      <c r="D34" s="5"/>
      <c r="E34" s="5"/>
      <c r="F34" s="5"/>
      <c r="G34" s="6">
        <f>IF(A34="","",COUNTIF('Test Cases'!$C$2:$C$101,A34))</f>
      </c>
      <c r="H34" s="6">
        <f>IF(A34="","",COUNTIFS('Test Cases'!$C$2:$C$101,A34,'Test Cases'!$D$2:$D$101,"Pass"))</f>
      </c>
      <c r="I34" s="6">
        <f>IF(A34="","",COUNTIFS('Test Cases'!$C$2:$C$101,A34,'Test Cases'!$D$2:$D$101,"Fail"))</f>
      </c>
      <c r="J34" s="6">
        <f>IF(A34="","",IF(G34=0,"No tests",IF(I34&gt;0,"Failing",IF(H34&lt;G34,"Not run yet","Passing"))))</f>
      </c>
    </row>
    <row r="35">
      <c r="A35" s="5"/>
      <c r="B35" s="5"/>
      <c r="C35" s="5"/>
      <c r="D35" s="5"/>
      <c r="E35" s="5"/>
      <c r="F35" s="5"/>
      <c r="G35" s="6">
        <f>IF(A35="","",COUNTIF('Test Cases'!$C$2:$C$101,A35))</f>
      </c>
      <c r="H35" s="6">
        <f>IF(A35="","",COUNTIFS('Test Cases'!$C$2:$C$101,A35,'Test Cases'!$D$2:$D$101,"Pass"))</f>
      </c>
      <c r="I35" s="6">
        <f>IF(A35="","",COUNTIFS('Test Cases'!$C$2:$C$101,A35,'Test Cases'!$D$2:$D$101,"Fail"))</f>
      </c>
      <c r="J35" s="6">
        <f>IF(A35="","",IF(G35=0,"No tests",IF(I35&gt;0,"Failing",IF(H35&lt;G35,"Not run yet","Passing"))))</f>
      </c>
    </row>
    <row r="36">
      <c r="A36" s="5"/>
      <c r="B36" s="5"/>
      <c r="C36" s="5"/>
      <c r="D36" s="5"/>
      <c r="E36" s="5"/>
      <c r="F36" s="5"/>
      <c r="G36" s="6">
        <f>IF(A36="","",COUNTIF('Test Cases'!$C$2:$C$101,A36))</f>
      </c>
      <c r="H36" s="6">
        <f>IF(A36="","",COUNTIFS('Test Cases'!$C$2:$C$101,A36,'Test Cases'!$D$2:$D$101,"Pass"))</f>
      </c>
      <c r="I36" s="6">
        <f>IF(A36="","",COUNTIFS('Test Cases'!$C$2:$C$101,A36,'Test Cases'!$D$2:$D$101,"Fail"))</f>
      </c>
      <c r="J36" s="6">
        <f>IF(A36="","",IF(G36=0,"No tests",IF(I36&gt;0,"Failing",IF(H36&lt;G36,"Not run yet","Passing"))))</f>
      </c>
    </row>
    <row r="37">
      <c r="A37" s="5"/>
      <c r="B37" s="5"/>
      <c r="C37" s="5"/>
      <c r="D37" s="5"/>
      <c r="E37" s="5"/>
      <c r="F37" s="5"/>
      <c r="G37" s="6">
        <f>IF(A37="","",COUNTIF('Test Cases'!$C$2:$C$101,A37))</f>
      </c>
      <c r="H37" s="6">
        <f>IF(A37="","",COUNTIFS('Test Cases'!$C$2:$C$101,A37,'Test Cases'!$D$2:$D$101,"Pass"))</f>
      </c>
      <c r="I37" s="6">
        <f>IF(A37="","",COUNTIFS('Test Cases'!$C$2:$C$101,A37,'Test Cases'!$D$2:$D$101,"Fail"))</f>
      </c>
      <c r="J37" s="6">
        <f>IF(A37="","",IF(G37=0,"No tests",IF(I37&gt;0,"Failing",IF(H37&lt;G37,"Not run yet","Passing"))))</f>
      </c>
    </row>
    <row r="38">
      <c r="A38" s="5"/>
      <c r="B38" s="5"/>
      <c r="C38" s="5"/>
      <c r="D38" s="5"/>
      <c r="E38" s="5"/>
      <c r="F38" s="5"/>
      <c r="G38" s="6">
        <f>IF(A38="","",COUNTIF('Test Cases'!$C$2:$C$101,A38))</f>
      </c>
      <c r="H38" s="6">
        <f>IF(A38="","",COUNTIFS('Test Cases'!$C$2:$C$101,A38,'Test Cases'!$D$2:$D$101,"Pass"))</f>
      </c>
      <c r="I38" s="6">
        <f>IF(A38="","",COUNTIFS('Test Cases'!$C$2:$C$101,A38,'Test Cases'!$D$2:$D$101,"Fail"))</f>
      </c>
      <c r="J38" s="6">
        <f>IF(A38="","",IF(G38=0,"No tests",IF(I38&gt;0,"Failing",IF(H38&lt;G38,"Not run yet","Passing"))))</f>
      </c>
    </row>
    <row r="39">
      <c r="A39" s="5"/>
      <c r="B39" s="5"/>
      <c r="C39" s="5"/>
      <c r="D39" s="5"/>
      <c r="E39" s="5"/>
      <c r="F39" s="5"/>
      <c r="G39" s="6">
        <f>IF(A39="","",COUNTIF('Test Cases'!$C$2:$C$101,A39))</f>
      </c>
      <c r="H39" s="6">
        <f>IF(A39="","",COUNTIFS('Test Cases'!$C$2:$C$101,A39,'Test Cases'!$D$2:$D$101,"Pass"))</f>
      </c>
      <c r="I39" s="6">
        <f>IF(A39="","",COUNTIFS('Test Cases'!$C$2:$C$101,A39,'Test Cases'!$D$2:$D$101,"Fail"))</f>
      </c>
      <c r="J39" s="6">
        <f>IF(A39="","",IF(G39=0,"No tests",IF(I39&gt;0,"Failing",IF(H39&lt;G39,"Not run yet","Passing"))))</f>
      </c>
    </row>
    <row r="40">
      <c r="A40" s="5"/>
      <c r="B40" s="5"/>
      <c r="C40" s="5"/>
      <c r="D40" s="5"/>
      <c r="E40" s="5"/>
      <c r="F40" s="5"/>
      <c r="G40" s="6">
        <f>IF(A40="","",COUNTIF('Test Cases'!$C$2:$C$101,A40))</f>
      </c>
      <c r="H40" s="6">
        <f>IF(A40="","",COUNTIFS('Test Cases'!$C$2:$C$101,A40,'Test Cases'!$D$2:$D$101,"Pass"))</f>
      </c>
      <c r="I40" s="6">
        <f>IF(A40="","",COUNTIFS('Test Cases'!$C$2:$C$101,A40,'Test Cases'!$D$2:$D$101,"Fail"))</f>
      </c>
      <c r="J40" s="6">
        <f>IF(A40="","",IF(G40=0,"No tests",IF(I40&gt;0,"Failing",IF(H40&lt;G40,"Not run yet","Passing"))))</f>
      </c>
    </row>
    <row r="41">
      <c r="A41" s="5"/>
      <c r="B41" s="5"/>
      <c r="C41" s="5"/>
      <c r="D41" s="5"/>
      <c r="E41" s="5"/>
      <c r="F41" s="5"/>
      <c r="G41" s="6">
        <f>IF(A41="","",COUNTIF('Test Cases'!$C$2:$C$101,A41))</f>
      </c>
      <c r="H41" s="6">
        <f>IF(A41="","",COUNTIFS('Test Cases'!$C$2:$C$101,A41,'Test Cases'!$D$2:$D$101,"Pass"))</f>
      </c>
      <c r="I41" s="6">
        <f>IF(A41="","",COUNTIFS('Test Cases'!$C$2:$C$101,A41,'Test Cases'!$D$2:$D$101,"Fail"))</f>
      </c>
      <c r="J41" s="6">
        <f>IF(A41="","",IF(G41=0,"No tests",IF(I41&gt;0,"Failing",IF(H41&lt;G41,"Not run yet","Passing"))))</f>
      </c>
    </row>
    <row r="42">
      <c r="A42" s="5"/>
      <c r="B42" s="5"/>
      <c r="C42" s="5"/>
      <c r="D42" s="5"/>
      <c r="E42" s="5"/>
      <c r="F42" s="5"/>
      <c r="G42" s="6">
        <f>IF(A42="","",COUNTIF('Test Cases'!$C$2:$C$101,A42))</f>
      </c>
      <c r="H42" s="6">
        <f>IF(A42="","",COUNTIFS('Test Cases'!$C$2:$C$101,A42,'Test Cases'!$D$2:$D$101,"Pass"))</f>
      </c>
      <c r="I42" s="6">
        <f>IF(A42="","",COUNTIFS('Test Cases'!$C$2:$C$101,A42,'Test Cases'!$D$2:$D$101,"Fail"))</f>
      </c>
      <c r="J42" s="6">
        <f>IF(A42="","",IF(G42=0,"No tests",IF(I42&gt;0,"Failing",IF(H42&lt;G42,"Not run yet","Passing"))))</f>
      </c>
    </row>
    <row r="43">
      <c r="A43" s="5"/>
      <c r="B43" s="5"/>
      <c r="C43" s="5"/>
      <c r="D43" s="5"/>
      <c r="E43" s="5"/>
      <c r="F43" s="5"/>
      <c r="G43" s="6">
        <f>IF(A43="","",COUNTIF('Test Cases'!$C$2:$C$101,A43))</f>
      </c>
      <c r="H43" s="6">
        <f>IF(A43="","",COUNTIFS('Test Cases'!$C$2:$C$101,A43,'Test Cases'!$D$2:$D$101,"Pass"))</f>
      </c>
      <c r="I43" s="6">
        <f>IF(A43="","",COUNTIFS('Test Cases'!$C$2:$C$101,A43,'Test Cases'!$D$2:$D$101,"Fail"))</f>
      </c>
      <c r="J43" s="6">
        <f>IF(A43="","",IF(G43=0,"No tests",IF(I43&gt;0,"Failing",IF(H43&lt;G43,"Not run yet","Passing"))))</f>
      </c>
    </row>
    <row r="44">
      <c r="A44" s="5"/>
      <c r="B44" s="5"/>
      <c r="C44" s="5"/>
      <c r="D44" s="5"/>
      <c r="E44" s="5"/>
      <c r="F44" s="5"/>
      <c r="G44" s="6">
        <f>IF(A44="","",COUNTIF('Test Cases'!$C$2:$C$101,A44))</f>
      </c>
      <c r="H44" s="6">
        <f>IF(A44="","",COUNTIFS('Test Cases'!$C$2:$C$101,A44,'Test Cases'!$D$2:$D$101,"Pass"))</f>
      </c>
      <c r="I44" s="6">
        <f>IF(A44="","",COUNTIFS('Test Cases'!$C$2:$C$101,A44,'Test Cases'!$D$2:$D$101,"Fail"))</f>
      </c>
      <c r="J44" s="6">
        <f>IF(A44="","",IF(G44=0,"No tests",IF(I44&gt;0,"Failing",IF(H44&lt;G44,"Not run yet","Passing"))))</f>
      </c>
    </row>
    <row r="45">
      <c r="A45" s="5"/>
      <c r="B45" s="5"/>
      <c r="C45" s="5"/>
      <c r="D45" s="5"/>
      <c r="E45" s="5"/>
      <c r="F45" s="5"/>
      <c r="G45" s="6">
        <f>IF(A45="","",COUNTIF('Test Cases'!$C$2:$C$101,A45))</f>
      </c>
      <c r="H45" s="6">
        <f>IF(A45="","",COUNTIFS('Test Cases'!$C$2:$C$101,A45,'Test Cases'!$D$2:$D$101,"Pass"))</f>
      </c>
      <c r="I45" s="6">
        <f>IF(A45="","",COUNTIFS('Test Cases'!$C$2:$C$101,A45,'Test Cases'!$D$2:$D$101,"Fail"))</f>
      </c>
      <c r="J45" s="6">
        <f>IF(A45="","",IF(G45=0,"No tests",IF(I45&gt;0,"Failing",IF(H45&lt;G45,"Not run yet","Passing"))))</f>
      </c>
    </row>
    <row r="46">
      <c r="A46" s="5"/>
      <c r="B46" s="5"/>
      <c r="C46" s="5"/>
      <c r="D46" s="5"/>
      <c r="E46" s="5"/>
      <c r="F46" s="5"/>
      <c r="G46" s="6">
        <f>IF(A46="","",COUNTIF('Test Cases'!$C$2:$C$101,A46))</f>
      </c>
      <c r="H46" s="6">
        <f>IF(A46="","",COUNTIFS('Test Cases'!$C$2:$C$101,A46,'Test Cases'!$D$2:$D$101,"Pass"))</f>
      </c>
      <c r="I46" s="6">
        <f>IF(A46="","",COUNTIFS('Test Cases'!$C$2:$C$101,A46,'Test Cases'!$D$2:$D$101,"Fail"))</f>
      </c>
      <c r="J46" s="6">
        <f>IF(A46="","",IF(G46=0,"No tests",IF(I46&gt;0,"Failing",IF(H46&lt;G46,"Not run yet","Passing"))))</f>
      </c>
    </row>
    <row r="47">
      <c r="A47" s="5"/>
      <c r="B47" s="5"/>
      <c r="C47" s="5"/>
      <c r="D47" s="5"/>
      <c r="E47" s="5"/>
      <c r="F47" s="5"/>
      <c r="G47" s="6">
        <f>IF(A47="","",COUNTIF('Test Cases'!$C$2:$C$101,A47))</f>
      </c>
      <c r="H47" s="6">
        <f>IF(A47="","",COUNTIFS('Test Cases'!$C$2:$C$101,A47,'Test Cases'!$D$2:$D$101,"Pass"))</f>
      </c>
      <c r="I47" s="6">
        <f>IF(A47="","",COUNTIFS('Test Cases'!$C$2:$C$101,A47,'Test Cases'!$D$2:$D$101,"Fail"))</f>
      </c>
      <c r="J47" s="6">
        <f>IF(A47="","",IF(G47=0,"No tests",IF(I47&gt;0,"Failing",IF(H47&lt;G47,"Not run yet","Passing"))))</f>
      </c>
    </row>
    <row r="48">
      <c r="A48" s="5"/>
      <c r="B48" s="5"/>
      <c r="C48" s="5"/>
      <c r="D48" s="5"/>
      <c r="E48" s="5"/>
      <c r="F48" s="5"/>
      <c r="G48" s="6">
        <f>IF(A48="","",COUNTIF('Test Cases'!$C$2:$C$101,A48))</f>
      </c>
      <c r="H48" s="6">
        <f>IF(A48="","",COUNTIFS('Test Cases'!$C$2:$C$101,A48,'Test Cases'!$D$2:$D$101,"Pass"))</f>
      </c>
      <c r="I48" s="6">
        <f>IF(A48="","",COUNTIFS('Test Cases'!$C$2:$C$101,A48,'Test Cases'!$D$2:$D$101,"Fail"))</f>
      </c>
      <c r="J48" s="6">
        <f>IF(A48="","",IF(G48=0,"No tests",IF(I48&gt;0,"Failing",IF(H48&lt;G48,"Not run yet","Passing"))))</f>
      </c>
    </row>
    <row r="49">
      <c r="A49" s="5"/>
      <c r="B49" s="5"/>
      <c r="C49" s="5"/>
      <c r="D49" s="5"/>
      <c r="E49" s="5"/>
      <c r="F49" s="5"/>
      <c r="G49" s="6">
        <f>IF(A49="","",COUNTIF('Test Cases'!$C$2:$C$101,A49))</f>
      </c>
      <c r="H49" s="6">
        <f>IF(A49="","",COUNTIFS('Test Cases'!$C$2:$C$101,A49,'Test Cases'!$D$2:$D$101,"Pass"))</f>
      </c>
      <c r="I49" s="6">
        <f>IF(A49="","",COUNTIFS('Test Cases'!$C$2:$C$101,A49,'Test Cases'!$D$2:$D$101,"Fail"))</f>
      </c>
      <c r="J49" s="6">
        <f>IF(A49="","",IF(G49=0,"No tests",IF(I49&gt;0,"Failing",IF(H49&lt;G49,"Not run yet","Passing"))))</f>
      </c>
    </row>
    <row r="50">
      <c r="A50" s="5"/>
      <c r="B50" s="5"/>
      <c r="C50" s="5"/>
      <c r="D50" s="5"/>
      <c r="E50" s="5"/>
      <c r="F50" s="5"/>
      <c r="G50" s="6">
        <f>IF(A50="","",COUNTIF('Test Cases'!$C$2:$C$101,A50))</f>
      </c>
      <c r="H50" s="6">
        <f>IF(A50="","",COUNTIFS('Test Cases'!$C$2:$C$101,A50,'Test Cases'!$D$2:$D$101,"Pass"))</f>
      </c>
      <c r="I50" s="6">
        <f>IF(A50="","",COUNTIFS('Test Cases'!$C$2:$C$101,A50,'Test Cases'!$D$2:$D$101,"Fail"))</f>
      </c>
      <c r="J50" s="6">
        <f>IF(A50="","",IF(G50=0,"No tests",IF(I50&gt;0,"Failing",IF(H50&lt;G50,"Not run yet","Passing"))))</f>
      </c>
    </row>
    <row r="51">
      <c r="A51" s="5"/>
      <c r="B51" s="5"/>
      <c r="C51" s="5"/>
      <c r="D51" s="5"/>
      <c r="E51" s="5"/>
      <c r="F51" s="5"/>
      <c r="G51" s="6">
        <f>IF(A51="","",COUNTIF('Test Cases'!$C$2:$C$101,A51))</f>
      </c>
      <c r="H51" s="6">
        <f>IF(A51="","",COUNTIFS('Test Cases'!$C$2:$C$101,A51,'Test Cases'!$D$2:$D$101,"Pass"))</f>
      </c>
      <c r="I51" s="6">
        <f>IF(A51="","",COUNTIFS('Test Cases'!$C$2:$C$101,A51,'Test Cases'!$D$2:$D$101,"Fail"))</f>
      </c>
      <c r="J51" s="6">
        <f>IF(A51="","",IF(G51=0,"No tests",IF(I51&gt;0,"Failing",IF(H51&lt;G51,"Not run yet","Passing"))))</f>
      </c>
    </row>
    <row r="52">
      <c r="A52" s="5"/>
      <c r="B52" s="5"/>
      <c r="C52" s="5"/>
      <c r="D52" s="5"/>
      <c r="E52" s="5"/>
      <c r="F52" s="5"/>
      <c r="G52" s="6">
        <f>IF(A52="","",COUNTIF('Test Cases'!$C$2:$C$101,A52))</f>
      </c>
      <c r="H52" s="6">
        <f>IF(A52="","",COUNTIFS('Test Cases'!$C$2:$C$101,A52,'Test Cases'!$D$2:$D$101,"Pass"))</f>
      </c>
      <c r="I52" s="6">
        <f>IF(A52="","",COUNTIFS('Test Cases'!$C$2:$C$101,A52,'Test Cases'!$D$2:$D$101,"Fail"))</f>
      </c>
      <c r="J52" s="6">
        <f>IF(A52="","",IF(G52=0,"No tests",IF(I52&gt;0,"Failing",IF(H52&lt;G52,"Not run yet","Passing"))))</f>
      </c>
    </row>
    <row r="53">
      <c r="A53" s="5"/>
      <c r="B53" s="5"/>
      <c r="C53" s="5"/>
      <c r="D53" s="5"/>
      <c r="E53" s="5"/>
      <c r="F53" s="5"/>
      <c r="G53" s="6">
        <f>IF(A53="","",COUNTIF('Test Cases'!$C$2:$C$101,A53))</f>
      </c>
      <c r="H53" s="6">
        <f>IF(A53="","",COUNTIFS('Test Cases'!$C$2:$C$101,A53,'Test Cases'!$D$2:$D$101,"Pass"))</f>
      </c>
      <c r="I53" s="6">
        <f>IF(A53="","",COUNTIFS('Test Cases'!$C$2:$C$101,A53,'Test Cases'!$D$2:$D$101,"Fail"))</f>
      </c>
      <c r="J53" s="6">
        <f>IF(A53="","",IF(G53=0,"No tests",IF(I53&gt;0,"Failing",IF(H53&lt;G53,"Not run yet","Passing"))))</f>
      </c>
    </row>
    <row r="54">
      <c r="A54" s="5"/>
      <c r="B54" s="5"/>
      <c r="C54" s="5"/>
      <c r="D54" s="5"/>
      <c r="E54" s="5"/>
      <c r="F54" s="5"/>
      <c r="G54" s="6">
        <f>IF(A54="","",COUNTIF('Test Cases'!$C$2:$C$101,A54))</f>
      </c>
      <c r="H54" s="6">
        <f>IF(A54="","",COUNTIFS('Test Cases'!$C$2:$C$101,A54,'Test Cases'!$D$2:$D$101,"Pass"))</f>
      </c>
      <c r="I54" s="6">
        <f>IF(A54="","",COUNTIFS('Test Cases'!$C$2:$C$101,A54,'Test Cases'!$D$2:$D$101,"Fail"))</f>
      </c>
      <c r="J54" s="6">
        <f>IF(A54="","",IF(G54=0,"No tests",IF(I54&gt;0,"Failing",IF(H54&lt;G54,"Not run yet","Passing"))))</f>
      </c>
    </row>
    <row r="55">
      <c r="A55" s="5"/>
      <c r="B55" s="5"/>
      <c r="C55" s="5"/>
      <c r="D55" s="5"/>
      <c r="E55" s="5"/>
      <c r="F55" s="5"/>
      <c r="G55" s="6">
        <f>IF(A55="","",COUNTIF('Test Cases'!$C$2:$C$101,A55))</f>
      </c>
      <c r="H55" s="6">
        <f>IF(A55="","",COUNTIFS('Test Cases'!$C$2:$C$101,A55,'Test Cases'!$D$2:$D$101,"Pass"))</f>
      </c>
      <c r="I55" s="6">
        <f>IF(A55="","",COUNTIFS('Test Cases'!$C$2:$C$101,A55,'Test Cases'!$D$2:$D$101,"Fail"))</f>
      </c>
      <c r="J55" s="6">
        <f>IF(A55="","",IF(G55=0,"No tests",IF(I55&gt;0,"Failing",IF(H55&lt;G55,"Not run yet","Passing"))))</f>
      </c>
    </row>
    <row r="56">
      <c r="A56" s="5"/>
      <c r="B56" s="5"/>
      <c r="C56" s="5"/>
      <c r="D56" s="5"/>
      <c r="E56" s="5"/>
      <c r="F56" s="5"/>
      <c r="G56" s="6">
        <f>IF(A56="","",COUNTIF('Test Cases'!$C$2:$C$101,A56))</f>
      </c>
      <c r="H56" s="6">
        <f>IF(A56="","",COUNTIFS('Test Cases'!$C$2:$C$101,A56,'Test Cases'!$D$2:$D$101,"Pass"))</f>
      </c>
      <c r="I56" s="6">
        <f>IF(A56="","",COUNTIFS('Test Cases'!$C$2:$C$101,A56,'Test Cases'!$D$2:$D$101,"Fail"))</f>
      </c>
      <c r="J56" s="6">
        <f>IF(A56="","",IF(G56=0,"No tests",IF(I56&gt;0,"Failing",IF(H56&lt;G56,"Not run yet","Passing"))))</f>
      </c>
    </row>
    <row r="57">
      <c r="A57" s="5"/>
      <c r="B57" s="5"/>
      <c r="C57" s="5"/>
      <c r="D57" s="5"/>
      <c r="E57" s="5"/>
      <c r="F57" s="5"/>
      <c r="G57" s="6">
        <f>IF(A57="","",COUNTIF('Test Cases'!$C$2:$C$101,A57))</f>
      </c>
      <c r="H57" s="6">
        <f>IF(A57="","",COUNTIFS('Test Cases'!$C$2:$C$101,A57,'Test Cases'!$D$2:$D$101,"Pass"))</f>
      </c>
      <c r="I57" s="6">
        <f>IF(A57="","",COUNTIFS('Test Cases'!$C$2:$C$101,A57,'Test Cases'!$D$2:$D$101,"Fail"))</f>
      </c>
      <c r="J57" s="6">
        <f>IF(A57="","",IF(G57=0,"No tests",IF(I57&gt;0,"Failing",IF(H57&lt;G57,"Not run yet","Passing"))))</f>
      </c>
    </row>
    <row r="58">
      <c r="A58" s="5"/>
      <c r="B58" s="5"/>
      <c r="C58" s="5"/>
      <c r="D58" s="5"/>
      <c r="E58" s="5"/>
      <c r="F58" s="5"/>
      <c r="G58" s="6">
        <f>IF(A58="","",COUNTIF('Test Cases'!$C$2:$C$101,A58))</f>
      </c>
      <c r="H58" s="6">
        <f>IF(A58="","",COUNTIFS('Test Cases'!$C$2:$C$101,A58,'Test Cases'!$D$2:$D$101,"Pass"))</f>
      </c>
      <c r="I58" s="6">
        <f>IF(A58="","",COUNTIFS('Test Cases'!$C$2:$C$101,A58,'Test Cases'!$D$2:$D$101,"Fail"))</f>
      </c>
      <c r="J58" s="6">
        <f>IF(A58="","",IF(G58=0,"No tests",IF(I58&gt;0,"Failing",IF(H58&lt;G58,"Not run yet","Passing"))))</f>
      </c>
    </row>
    <row r="59">
      <c r="A59" s="5"/>
      <c r="B59" s="5"/>
      <c r="C59" s="5"/>
      <c r="D59" s="5"/>
      <c r="E59" s="5"/>
      <c r="F59" s="5"/>
      <c r="G59" s="6">
        <f>IF(A59="","",COUNTIF('Test Cases'!$C$2:$C$101,A59))</f>
      </c>
      <c r="H59" s="6">
        <f>IF(A59="","",COUNTIFS('Test Cases'!$C$2:$C$101,A59,'Test Cases'!$D$2:$D$101,"Pass"))</f>
      </c>
      <c r="I59" s="6">
        <f>IF(A59="","",COUNTIFS('Test Cases'!$C$2:$C$101,A59,'Test Cases'!$D$2:$D$101,"Fail"))</f>
      </c>
      <c r="J59" s="6">
        <f>IF(A59="","",IF(G59=0,"No tests",IF(I59&gt;0,"Failing",IF(H59&lt;G59,"Not run yet","Passing"))))</f>
      </c>
    </row>
    <row r="60">
      <c r="A60" s="5"/>
      <c r="B60" s="5"/>
      <c r="C60" s="5"/>
      <c r="D60" s="5"/>
      <c r="E60" s="5"/>
      <c r="F60" s="5"/>
      <c r="G60" s="6">
        <f>IF(A60="","",COUNTIF('Test Cases'!$C$2:$C$101,A60))</f>
      </c>
      <c r="H60" s="6">
        <f>IF(A60="","",COUNTIFS('Test Cases'!$C$2:$C$101,A60,'Test Cases'!$D$2:$D$101,"Pass"))</f>
      </c>
      <c r="I60" s="6">
        <f>IF(A60="","",COUNTIFS('Test Cases'!$C$2:$C$101,A60,'Test Cases'!$D$2:$D$101,"Fail"))</f>
      </c>
      <c r="J60" s="6">
        <f>IF(A60="","",IF(G60=0,"No tests",IF(I60&gt;0,"Failing",IF(H60&lt;G60,"Not run yet","Passing"))))</f>
      </c>
    </row>
    <row r="61">
      <c r="A61" s="5"/>
      <c r="B61" s="5"/>
      <c r="C61" s="5"/>
      <c r="D61" s="5"/>
      <c r="E61" s="5"/>
      <c r="F61" s="5"/>
      <c r="G61" s="6">
        <f>IF(A61="","",COUNTIF('Test Cases'!$C$2:$C$101,A61))</f>
      </c>
      <c r="H61" s="6">
        <f>IF(A61="","",COUNTIFS('Test Cases'!$C$2:$C$101,A61,'Test Cases'!$D$2:$D$101,"Pass"))</f>
      </c>
      <c r="I61" s="6">
        <f>IF(A61="","",COUNTIFS('Test Cases'!$C$2:$C$101,A61,'Test Cases'!$D$2:$D$101,"Fail"))</f>
      </c>
      <c r="J61" s="6">
        <f>IF(A61="","",IF(G61=0,"No tests",IF(I61&gt;0,"Failing",IF(H61&lt;G61,"Not run yet","Passing"))))</f>
      </c>
    </row>
    <row r="62">
      <c r="A62" s="5"/>
      <c r="B62" s="5"/>
      <c r="C62" s="5"/>
      <c r="D62" s="5"/>
      <c r="E62" s="5"/>
      <c r="F62" s="5"/>
      <c r="G62" s="6">
        <f>IF(A62="","",COUNTIF('Test Cases'!$C$2:$C$101,A62))</f>
      </c>
      <c r="H62" s="6">
        <f>IF(A62="","",COUNTIFS('Test Cases'!$C$2:$C$101,A62,'Test Cases'!$D$2:$D$101,"Pass"))</f>
      </c>
      <c r="I62" s="6">
        <f>IF(A62="","",COUNTIFS('Test Cases'!$C$2:$C$101,A62,'Test Cases'!$D$2:$D$101,"Fail"))</f>
      </c>
      <c r="J62" s="6">
        <f>IF(A62="","",IF(G62=0,"No tests",IF(I62&gt;0,"Failing",IF(H62&lt;G62,"Not run yet","Passing"))))</f>
      </c>
    </row>
    <row r="63">
      <c r="A63" s="5"/>
      <c r="B63" s="5"/>
      <c r="C63" s="5"/>
      <c r="D63" s="5"/>
      <c r="E63" s="5"/>
      <c r="F63" s="5"/>
      <c r="G63" s="6">
        <f>IF(A63="","",COUNTIF('Test Cases'!$C$2:$C$101,A63))</f>
      </c>
      <c r="H63" s="6">
        <f>IF(A63="","",COUNTIFS('Test Cases'!$C$2:$C$101,A63,'Test Cases'!$D$2:$D$101,"Pass"))</f>
      </c>
      <c r="I63" s="6">
        <f>IF(A63="","",COUNTIFS('Test Cases'!$C$2:$C$101,A63,'Test Cases'!$D$2:$D$101,"Fail"))</f>
      </c>
      <c r="J63" s="6">
        <f>IF(A63="","",IF(G63=0,"No tests",IF(I63&gt;0,"Failing",IF(H63&lt;G63,"Not run yet","Passing"))))</f>
      </c>
    </row>
    <row r="64">
      <c r="A64" s="5"/>
      <c r="B64" s="5"/>
      <c r="C64" s="5"/>
      <c r="D64" s="5"/>
      <c r="E64" s="5"/>
      <c r="F64" s="5"/>
      <c r="G64" s="6">
        <f>IF(A64="","",COUNTIF('Test Cases'!$C$2:$C$101,A64))</f>
      </c>
      <c r="H64" s="6">
        <f>IF(A64="","",COUNTIFS('Test Cases'!$C$2:$C$101,A64,'Test Cases'!$D$2:$D$101,"Pass"))</f>
      </c>
      <c r="I64" s="6">
        <f>IF(A64="","",COUNTIFS('Test Cases'!$C$2:$C$101,A64,'Test Cases'!$D$2:$D$101,"Fail"))</f>
      </c>
      <c r="J64" s="6">
        <f>IF(A64="","",IF(G64=0,"No tests",IF(I64&gt;0,"Failing",IF(H64&lt;G64,"Not run yet","Passing"))))</f>
      </c>
    </row>
    <row r="65">
      <c r="A65" s="5"/>
      <c r="B65" s="5"/>
      <c r="C65" s="5"/>
      <c r="D65" s="5"/>
      <c r="E65" s="5"/>
      <c r="F65" s="5"/>
      <c r="G65" s="6">
        <f>IF(A65="","",COUNTIF('Test Cases'!$C$2:$C$101,A65))</f>
      </c>
      <c r="H65" s="6">
        <f>IF(A65="","",COUNTIFS('Test Cases'!$C$2:$C$101,A65,'Test Cases'!$D$2:$D$101,"Pass"))</f>
      </c>
      <c r="I65" s="6">
        <f>IF(A65="","",COUNTIFS('Test Cases'!$C$2:$C$101,A65,'Test Cases'!$D$2:$D$101,"Fail"))</f>
      </c>
      <c r="J65" s="6">
        <f>IF(A65="","",IF(G65=0,"No tests",IF(I65&gt;0,"Failing",IF(H65&lt;G65,"Not run yet","Passing"))))</f>
      </c>
    </row>
    <row r="66">
      <c r="A66" s="5"/>
      <c r="B66" s="5"/>
      <c r="C66" s="5"/>
      <c r="D66" s="5"/>
      <c r="E66" s="5"/>
      <c r="F66" s="5"/>
      <c r="G66" s="6">
        <f>IF(A66="","",COUNTIF('Test Cases'!$C$2:$C$101,A66))</f>
      </c>
      <c r="H66" s="6">
        <f>IF(A66="","",COUNTIFS('Test Cases'!$C$2:$C$101,A66,'Test Cases'!$D$2:$D$101,"Pass"))</f>
      </c>
      <c r="I66" s="6">
        <f>IF(A66="","",COUNTIFS('Test Cases'!$C$2:$C$101,A66,'Test Cases'!$D$2:$D$101,"Fail"))</f>
      </c>
      <c r="J66" s="6">
        <f>IF(A66="","",IF(G66=0,"No tests",IF(I66&gt;0,"Failing",IF(H66&lt;G66,"Not run yet","Passing"))))</f>
      </c>
    </row>
    <row r="67">
      <c r="A67" s="5"/>
      <c r="B67" s="5"/>
      <c r="C67" s="5"/>
      <c r="D67" s="5"/>
      <c r="E67" s="5"/>
      <c r="F67" s="5"/>
      <c r="G67" s="6">
        <f>IF(A67="","",COUNTIF('Test Cases'!$C$2:$C$101,A67))</f>
      </c>
      <c r="H67" s="6">
        <f>IF(A67="","",COUNTIFS('Test Cases'!$C$2:$C$101,A67,'Test Cases'!$D$2:$D$101,"Pass"))</f>
      </c>
      <c r="I67" s="6">
        <f>IF(A67="","",COUNTIFS('Test Cases'!$C$2:$C$101,A67,'Test Cases'!$D$2:$D$101,"Fail"))</f>
      </c>
      <c r="J67" s="6">
        <f>IF(A67="","",IF(G67=0,"No tests",IF(I67&gt;0,"Failing",IF(H67&lt;G67,"Not run yet","Passing"))))</f>
      </c>
    </row>
    <row r="68">
      <c r="A68" s="5"/>
      <c r="B68" s="5"/>
      <c r="C68" s="5"/>
      <c r="D68" s="5"/>
      <c r="E68" s="5"/>
      <c r="F68" s="5"/>
      <c r="G68" s="6">
        <f>IF(A68="","",COUNTIF('Test Cases'!$C$2:$C$101,A68))</f>
      </c>
      <c r="H68" s="6">
        <f>IF(A68="","",COUNTIFS('Test Cases'!$C$2:$C$101,A68,'Test Cases'!$D$2:$D$101,"Pass"))</f>
      </c>
      <c r="I68" s="6">
        <f>IF(A68="","",COUNTIFS('Test Cases'!$C$2:$C$101,A68,'Test Cases'!$D$2:$D$101,"Fail"))</f>
      </c>
      <c r="J68" s="6">
        <f>IF(A68="","",IF(G68=0,"No tests",IF(I68&gt;0,"Failing",IF(H68&lt;G68,"Not run yet","Passing"))))</f>
      </c>
    </row>
    <row r="69">
      <c r="A69" s="5"/>
      <c r="B69" s="5"/>
      <c r="C69" s="5"/>
      <c r="D69" s="5"/>
      <c r="E69" s="5"/>
      <c r="F69" s="5"/>
      <c r="G69" s="6">
        <f>IF(A69="","",COUNTIF('Test Cases'!$C$2:$C$101,A69))</f>
      </c>
      <c r="H69" s="6">
        <f>IF(A69="","",COUNTIFS('Test Cases'!$C$2:$C$101,A69,'Test Cases'!$D$2:$D$101,"Pass"))</f>
      </c>
      <c r="I69" s="6">
        <f>IF(A69="","",COUNTIFS('Test Cases'!$C$2:$C$101,A69,'Test Cases'!$D$2:$D$101,"Fail"))</f>
      </c>
      <c r="J69" s="6">
        <f>IF(A69="","",IF(G69=0,"No tests",IF(I69&gt;0,"Failing",IF(H69&lt;G69,"Not run yet","Passing"))))</f>
      </c>
    </row>
    <row r="70">
      <c r="A70" s="5"/>
      <c r="B70" s="5"/>
      <c r="C70" s="5"/>
      <c r="D70" s="5"/>
      <c r="E70" s="5"/>
      <c r="F70" s="5"/>
      <c r="G70" s="6">
        <f>IF(A70="","",COUNTIF('Test Cases'!$C$2:$C$101,A70))</f>
      </c>
      <c r="H70" s="6">
        <f>IF(A70="","",COUNTIFS('Test Cases'!$C$2:$C$101,A70,'Test Cases'!$D$2:$D$101,"Pass"))</f>
      </c>
      <c r="I70" s="6">
        <f>IF(A70="","",COUNTIFS('Test Cases'!$C$2:$C$101,A70,'Test Cases'!$D$2:$D$101,"Fail"))</f>
      </c>
      <c r="J70" s="6">
        <f>IF(A70="","",IF(G70=0,"No tests",IF(I70&gt;0,"Failing",IF(H70&lt;G70,"Not run yet","Passing"))))</f>
      </c>
    </row>
    <row r="71">
      <c r="A71" s="5"/>
      <c r="B71" s="5"/>
      <c r="C71" s="5"/>
      <c r="D71" s="5"/>
      <c r="E71" s="5"/>
      <c r="F71" s="5"/>
      <c r="G71" s="6">
        <f>IF(A71="","",COUNTIF('Test Cases'!$C$2:$C$101,A71))</f>
      </c>
      <c r="H71" s="6">
        <f>IF(A71="","",COUNTIFS('Test Cases'!$C$2:$C$101,A71,'Test Cases'!$D$2:$D$101,"Pass"))</f>
      </c>
      <c r="I71" s="6">
        <f>IF(A71="","",COUNTIFS('Test Cases'!$C$2:$C$101,A71,'Test Cases'!$D$2:$D$101,"Fail"))</f>
      </c>
      <c r="J71" s="6">
        <f>IF(A71="","",IF(G71=0,"No tests",IF(I71&gt;0,"Failing",IF(H71&lt;G71,"Not run yet","Passing"))))</f>
      </c>
    </row>
    <row r="72">
      <c r="A72" s="5"/>
      <c r="B72" s="5"/>
      <c r="C72" s="5"/>
      <c r="D72" s="5"/>
      <c r="E72" s="5"/>
      <c r="F72" s="5"/>
      <c r="G72" s="6">
        <f>IF(A72="","",COUNTIF('Test Cases'!$C$2:$C$101,A72))</f>
      </c>
      <c r="H72" s="6">
        <f>IF(A72="","",COUNTIFS('Test Cases'!$C$2:$C$101,A72,'Test Cases'!$D$2:$D$101,"Pass"))</f>
      </c>
      <c r="I72" s="6">
        <f>IF(A72="","",COUNTIFS('Test Cases'!$C$2:$C$101,A72,'Test Cases'!$D$2:$D$101,"Fail"))</f>
      </c>
      <c r="J72" s="6">
        <f>IF(A72="","",IF(G72=0,"No tests",IF(I72&gt;0,"Failing",IF(H72&lt;G72,"Not run yet","Passing"))))</f>
      </c>
    </row>
    <row r="73">
      <c r="A73" s="5"/>
      <c r="B73" s="5"/>
      <c r="C73" s="5"/>
      <c r="D73" s="5"/>
      <c r="E73" s="5"/>
      <c r="F73" s="5"/>
      <c r="G73" s="6">
        <f>IF(A73="","",COUNTIF('Test Cases'!$C$2:$C$101,A73))</f>
      </c>
      <c r="H73" s="6">
        <f>IF(A73="","",COUNTIFS('Test Cases'!$C$2:$C$101,A73,'Test Cases'!$D$2:$D$101,"Pass"))</f>
      </c>
      <c r="I73" s="6">
        <f>IF(A73="","",COUNTIFS('Test Cases'!$C$2:$C$101,A73,'Test Cases'!$D$2:$D$101,"Fail"))</f>
      </c>
      <c r="J73" s="6">
        <f>IF(A73="","",IF(G73=0,"No tests",IF(I73&gt;0,"Failing",IF(H73&lt;G73,"Not run yet","Passing"))))</f>
      </c>
    </row>
    <row r="74">
      <c r="A74" s="5"/>
      <c r="B74" s="5"/>
      <c r="C74" s="5"/>
      <c r="D74" s="5"/>
      <c r="E74" s="5"/>
      <c r="F74" s="5"/>
      <c r="G74" s="6">
        <f>IF(A74="","",COUNTIF('Test Cases'!$C$2:$C$101,A74))</f>
      </c>
      <c r="H74" s="6">
        <f>IF(A74="","",COUNTIFS('Test Cases'!$C$2:$C$101,A74,'Test Cases'!$D$2:$D$101,"Pass"))</f>
      </c>
      <c r="I74" s="6">
        <f>IF(A74="","",COUNTIFS('Test Cases'!$C$2:$C$101,A74,'Test Cases'!$D$2:$D$101,"Fail"))</f>
      </c>
      <c r="J74" s="6">
        <f>IF(A74="","",IF(G74=0,"No tests",IF(I74&gt;0,"Failing",IF(H74&lt;G74,"Not run yet","Passing"))))</f>
      </c>
    </row>
    <row r="75">
      <c r="A75" s="5"/>
      <c r="B75" s="5"/>
      <c r="C75" s="5"/>
      <c r="D75" s="5"/>
      <c r="E75" s="5"/>
      <c r="F75" s="5"/>
      <c r="G75" s="6">
        <f>IF(A75="","",COUNTIF('Test Cases'!$C$2:$C$101,A75))</f>
      </c>
      <c r="H75" s="6">
        <f>IF(A75="","",COUNTIFS('Test Cases'!$C$2:$C$101,A75,'Test Cases'!$D$2:$D$101,"Pass"))</f>
      </c>
      <c r="I75" s="6">
        <f>IF(A75="","",COUNTIFS('Test Cases'!$C$2:$C$101,A75,'Test Cases'!$D$2:$D$101,"Fail"))</f>
      </c>
      <c r="J75" s="6">
        <f>IF(A75="","",IF(G75=0,"No tests",IF(I75&gt;0,"Failing",IF(H75&lt;G75,"Not run yet","Passing"))))</f>
      </c>
    </row>
    <row r="76">
      <c r="A76" s="5"/>
      <c r="B76" s="5"/>
      <c r="C76" s="5"/>
      <c r="D76" s="5"/>
      <c r="E76" s="5"/>
      <c r="F76" s="5"/>
      <c r="G76" s="6">
        <f>IF(A76="","",COUNTIF('Test Cases'!$C$2:$C$101,A76))</f>
      </c>
      <c r="H76" s="6">
        <f>IF(A76="","",COUNTIFS('Test Cases'!$C$2:$C$101,A76,'Test Cases'!$D$2:$D$101,"Pass"))</f>
      </c>
      <c r="I76" s="6">
        <f>IF(A76="","",COUNTIFS('Test Cases'!$C$2:$C$101,A76,'Test Cases'!$D$2:$D$101,"Fail"))</f>
      </c>
      <c r="J76" s="6">
        <f>IF(A76="","",IF(G76=0,"No tests",IF(I76&gt;0,"Failing",IF(H76&lt;G76,"Not run yet","Passing"))))</f>
      </c>
    </row>
    <row r="77">
      <c r="A77" s="5"/>
      <c r="B77" s="5"/>
      <c r="C77" s="5"/>
      <c r="D77" s="5"/>
      <c r="E77" s="5"/>
      <c r="F77" s="5"/>
      <c r="G77" s="6">
        <f>IF(A77="","",COUNTIF('Test Cases'!$C$2:$C$101,A77))</f>
      </c>
      <c r="H77" s="6">
        <f>IF(A77="","",COUNTIFS('Test Cases'!$C$2:$C$101,A77,'Test Cases'!$D$2:$D$101,"Pass"))</f>
      </c>
      <c r="I77" s="6">
        <f>IF(A77="","",COUNTIFS('Test Cases'!$C$2:$C$101,A77,'Test Cases'!$D$2:$D$101,"Fail"))</f>
      </c>
      <c r="J77" s="6">
        <f>IF(A77="","",IF(G77=0,"No tests",IF(I77&gt;0,"Failing",IF(H77&lt;G77,"Not run yet","Passing"))))</f>
      </c>
    </row>
    <row r="78">
      <c r="A78" s="5"/>
      <c r="B78" s="5"/>
      <c r="C78" s="5"/>
      <c r="D78" s="5"/>
      <c r="E78" s="5"/>
      <c r="F78" s="5"/>
      <c r="G78" s="6">
        <f>IF(A78="","",COUNTIF('Test Cases'!$C$2:$C$101,A78))</f>
      </c>
      <c r="H78" s="6">
        <f>IF(A78="","",COUNTIFS('Test Cases'!$C$2:$C$101,A78,'Test Cases'!$D$2:$D$101,"Pass"))</f>
      </c>
      <c r="I78" s="6">
        <f>IF(A78="","",COUNTIFS('Test Cases'!$C$2:$C$101,A78,'Test Cases'!$D$2:$D$101,"Fail"))</f>
      </c>
      <c r="J78" s="6">
        <f>IF(A78="","",IF(G78=0,"No tests",IF(I78&gt;0,"Failing",IF(H78&lt;G78,"Not run yet","Passing"))))</f>
      </c>
    </row>
    <row r="79">
      <c r="A79" s="5"/>
      <c r="B79" s="5"/>
      <c r="C79" s="5"/>
      <c r="D79" s="5"/>
      <c r="E79" s="5"/>
      <c r="F79" s="5"/>
      <c r="G79" s="6">
        <f>IF(A79="","",COUNTIF('Test Cases'!$C$2:$C$101,A79))</f>
      </c>
      <c r="H79" s="6">
        <f>IF(A79="","",COUNTIFS('Test Cases'!$C$2:$C$101,A79,'Test Cases'!$D$2:$D$101,"Pass"))</f>
      </c>
      <c r="I79" s="6">
        <f>IF(A79="","",COUNTIFS('Test Cases'!$C$2:$C$101,A79,'Test Cases'!$D$2:$D$101,"Fail"))</f>
      </c>
      <c r="J79" s="6">
        <f>IF(A79="","",IF(G79=0,"No tests",IF(I79&gt;0,"Failing",IF(H79&lt;G79,"Not run yet","Passing"))))</f>
      </c>
    </row>
    <row r="80">
      <c r="A80" s="5"/>
      <c r="B80" s="5"/>
      <c r="C80" s="5"/>
      <c r="D80" s="5"/>
      <c r="E80" s="5"/>
      <c r="F80" s="5"/>
      <c r="G80" s="6">
        <f>IF(A80="","",COUNTIF('Test Cases'!$C$2:$C$101,A80))</f>
      </c>
      <c r="H80" s="6">
        <f>IF(A80="","",COUNTIFS('Test Cases'!$C$2:$C$101,A80,'Test Cases'!$D$2:$D$101,"Pass"))</f>
      </c>
      <c r="I80" s="6">
        <f>IF(A80="","",COUNTIFS('Test Cases'!$C$2:$C$101,A80,'Test Cases'!$D$2:$D$101,"Fail"))</f>
      </c>
      <c r="J80" s="6">
        <f>IF(A80="","",IF(G80=0,"No tests",IF(I80&gt;0,"Failing",IF(H80&lt;G80,"Not run yet","Passing"))))</f>
      </c>
    </row>
    <row r="81">
      <c r="A81" s="5"/>
      <c r="B81" s="5"/>
      <c r="C81" s="5"/>
      <c r="D81" s="5"/>
      <c r="E81" s="5"/>
      <c r="F81" s="5"/>
      <c r="G81" s="6">
        <f>IF(A81="","",COUNTIF('Test Cases'!$C$2:$C$101,A81))</f>
      </c>
      <c r="H81" s="6">
        <f>IF(A81="","",COUNTIFS('Test Cases'!$C$2:$C$101,A81,'Test Cases'!$D$2:$D$101,"Pass"))</f>
      </c>
      <c r="I81" s="6">
        <f>IF(A81="","",COUNTIFS('Test Cases'!$C$2:$C$101,A81,'Test Cases'!$D$2:$D$101,"Fail"))</f>
      </c>
      <c r="J81" s="6">
        <f>IF(A81="","",IF(G81=0,"No tests",IF(I81&gt;0,"Failing",IF(H81&lt;G81,"Not run yet","Passing"))))</f>
      </c>
    </row>
    <row r="82">
      <c r="A82" s="5"/>
      <c r="B82" s="5"/>
      <c r="C82" s="5"/>
      <c r="D82" s="5"/>
      <c r="E82" s="5"/>
      <c r="F82" s="5"/>
      <c r="G82" s="6">
        <f>IF(A82="","",COUNTIF('Test Cases'!$C$2:$C$101,A82))</f>
      </c>
      <c r="H82" s="6">
        <f>IF(A82="","",COUNTIFS('Test Cases'!$C$2:$C$101,A82,'Test Cases'!$D$2:$D$101,"Pass"))</f>
      </c>
      <c r="I82" s="6">
        <f>IF(A82="","",COUNTIFS('Test Cases'!$C$2:$C$101,A82,'Test Cases'!$D$2:$D$101,"Fail"))</f>
      </c>
      <c r="J82" s="6">
        <f>IF(A82="","",IF(G82=0,"No tests",IF(I82&gt;0,"Failing",IF(H82&lt;G82,"Not run yet","Passing"))))</f>
      </c>
    </row>
    <row r="83">
      <c r="A83" s="5"/>
      <c r="B83" s="5"/>
      <c r="C83" s="5"/>
      <c r="D83" s="5"/>
      <c r="E83" s="5"/>
      <c r="F83" s="5"/>
      <c r="G83" s="6">
        <f>IF(A83="","",COUNTIF('Test Cases'!$C$2:$C$101,A83))</f>
      </c>
      <c r="H83" s="6">
        <f>IF(A83="","",COUNTIFS('Test Cases'!$C$2:$C$101,A83,'Test Cases'!$D$2:$D$101,"Pass"))</f>
      </c>
      <c r="I83" s="6">
        <f>IF(A83="","",COUNTIFS('Test Cases'!$C$2:$C$101,A83,'Test Cases'!$D$2:$D$101,"Fail"))</f>
      </c>
      <c r="J83" s="6">
        <f>IF(A83="","",IF(G83=0,"No tests",IF(I83&gt;0,"Failing",IF(H83&lt;G83,"Not run yet","Passing"))))</f>
      </c>
    </row>
    <row r="84">
      <c r="A84" s="5"/>
      <c r="B84" s="5"/>
      <c r="C84" s="5"/>
      <c r="D84" s="5"/>
      <c r="E84" s="5"/>
      <c r="F84" s="5"/>
      <c r="G84" s="6">
        <f>IF(A84="","",COUNTIF('Test Cases'!$C$2:$C$101,A84))</f>
      </c>
      <c r="H84" s="6">
        <f>IF(A84="","",COUNTIFS('Test Cases'!$C$2:$C$101,A84,'Test Cases'!$D$2:$D$101,"Pass"))</f>
      </c>
      <c r="I84" s="6">
        <f>IF(A84="","",COUNTIFS('Test Cases'!$C$2:$C$101,A84,'Test Cases'!$D$2:$D$101,"Fail"))</f>
      </c>
      <c r="J84" s="6">
        <f>IF(A84="","",IF(G84=0,"No tests",IF(I84&gt;0,"Failing",IF(H84&lt;G84,"Not run yet","Passing"))))</f>
      </c>
    </row>
    <row r="85">
      <c r="A85" s="5"/>
      <c r="B85" s="5"/>
      <c r="C85" s="5"/>
      <c r="D85" s="5"/>
      <c r="E85" s="5"/>
      <c r="F85" s="5"/>
      <c r="G85" s="6">
        <f>IF(A85="","",COUNTIF('Test Cases'!$C$2:$C$101,A85))</f>
      </c>
      <c r="H85" s="6">
        <f>IF(A85="","",COUNTIFS('Test Cases'!$C$2:$C$101,A85,'Test Cases'!$D$2:$D$101,"Pass"))</f>
      </c>
      <c r="I85" s="6">
        <f>IF(A85="","",COUNTIFS('Test Cases'!$C$2:$C$101,A85,'Test Cases'!$D$2:$D$101,"Fail"))</f>
      </c>
      <c r="J85" s="6">
        <f>IF(A85="","",IF(G85=0,"No tests",IF(I85&gt;0,"Failing",IF(H85&lt;G85,"Not run yet","Passing"))))</f>
      </c>
    </row>
    <row r="86">
      <c r="A86" s="5"/>
      <c r="B86" s="5"/>
      <c r="C86" s="5"/>
      <c r="D86" s="5"/>
      <c r="E86" s="5"/>
      <c r="F86" s="5"/>
      <c r="G86" s="6">
        <f>IF(A86="","",COUNTIF('Test Cases'!$C$2:$C$101,A86))</f>
      </c>
      <c r="H86" s="6">
        <f>IF(A86="","",COUNTIFS('Test Cases'!$C$2:$C$101,A86,'Test Cases'!$D$2:$D$101,"Pass"))</f>
      </c>
      <c r="I86" s="6">
        <f>IF(A86="","",COUNTIFS('Test Cases'!$C$2:$C$101,A86,'Test Cases'!$D$2:$D$101,"Fail"))</f>
      </c>
      <c r="J86" s="6">
        <f>IF(A86="","",IF(G86=0,"No tests",IF(I86&gt;0,"Failing",IF(H86&lt;G86,"Not run yet","Passing"))))</f>
      </c>
    </row>
    <row r="87">
      <c r="A87" s="5"/>
      <c r="B87" s="5"/>
      <c r="C87" s="5"/>
      <c r="D87" s="5"/>
      <c r="E87" s="5"/>
      <c r="F87" s="5"/>
      <c r="G87" s="6">
        <f>IF(A87="","",COUNTIF('Test Cases'!$C$2:$C$101,A87))</f>
      </c>
      <c r="H87" s="6">
        <f>IF(A87="","",COUNTIFS('Test Cases'!$C$2:$C$101,A87,'Test Cases'!$D$2:$D$101,"Pass"))</f>
      </c>
      <c r="I87" s="6">
        <f>IF(A87="","",COUNTIFS('Test Cases'!$C$2:$C$101,A87,'Test Cases'!$D$2:$D$101,"Fail"))</f>
      </c>
      <c r="J87" s="6">
        <f>IF(A87="","",IF(G87=0,"No tests",IF(I87&gt;0,"Failing",IF(H87&lt;G87,"Not run yet","Passing"))))</f>
      </c>
    </row>
    <row r="88">
      <c r="A88" s="5"/>
      <c r="B88" s="5"/>
      <c r="C88" s="5"/>
      <c r="D88" s="5"/>
      <c r="E88" s="5"/>
      <c r="F88" s="5"/>
      <c r="G88" s="6">
        <f>IF(A88="","",COUNTIF('Test Cases'!$C$2:$C$101,A88))</f>
      </c>
      <c r="H88" s="6">
        <f>IF(A88="","",COUNTIFS('Test Cases'!$C$2:$C$101,A88,'Test Cases'!$D$2:$D$101,"Pass"))</f>
      </c>
      <c r="I88" s="6">
        <f>IF(A88="","",COUNTIFS('Test Cases'!$C$2:$C$101,A88,'Test Cases'!$D$2:$D$101,"Fail"))</f>
      </c>
      <c r="J88" s="6">
        <f>IF(A88="","",IF(G88=0,"No tests",IF(I88&gt;0,"Failing",IF(H88&lt;G88,"Not run yet","Passing"))))</f>
      </c>
    </row>
    <row r="89">
      <c r="A89" s="5"/>
      <c r="B89" s="5"/>
      <c r="C89" s="5"/>
      <c r="D89" s="5"/>
      <c r="E89" s="5"/>
      <c r="F89" s="5"/>
      <c r="G89" s="6">
        <f>IF(A89="","",COUNTIF('Test Cases'!$C$2:$C$101,A89))</f>
      </c>
      <c r="H89" s="6">
        <f>IF(A89="","",COUNTIFS('Test Cases'!$C$2:$C$101,A89,'Test Cases'!$D$2:$D$101,"Pass"))</f>
      </c>
      <c r="I89" s="6">
        <f>IF(A89="","",COUNTIFS('Test Cases'!$C$2:$C$101,A89,'Test Cases'!$D$2:$D$101,"Fail"))</f>
      </c>
      <c r="J89" s="6">
        <f>IF(A89="","",IF(G89=0,"No tests",IF(I89&gt;0,"Failing",IF(H89&lt;G89,"Not run yet","Passing"))))</f>
      </c>
    </row>
    <row r="90">
      <c r="A90" s="5"/>
      <c r="B90" s="5"/>
      <c r="C90" s="5"/>
      <c r="D90" s="5"/>
      <c r="E90" s="5"/>
      <c r="F90" s="5"/>
      <c r="G90" s="6">
        <f>IF(A90="","",COUNTIF('Test Cases'!$C$2:$C$101,A90))</f>
      </c>
      <c r="H90" s="6">
        <f>IF(A90="","",COUNTIFS('Test Cases'!$C$2:$C$101,A90,'Test Cases'!$D$2:$D$101,"Pass"))</f>
      </c>
      <c r="I90" s="6">
        <f>IF(A90="","",COUNTIFS('Test Cases'!$C$2:$C$101,A90,'Test Cases'!$D$2:$D$101,"Fail"))</f>
      </c>
      <c r="J90" s="6">
        <f>IF(A90="","",IF(G90=0,"No tests",IF(I90&gt;0,"Failing",IF(H90&lt;G90,"Not run yet","Passing"))))</f>
      </c>
    </row>
    <row r="91">
      <c r="A91" s="5"/>
      <c r="B91" s="5"/>
      <c r="C91" s="5"/>
      <c r="D91" s="5"/>
      <c r="E91" s="5"/>
      <c r="F91" s="5"/>
      <c r="G91" s="6">
        <f>IF(A91="","",COUNTIF('Test Cases'!$C$2:$C$101,A91))</f>
      </c>
      <c r="H91" s="6">
        <f>IF(A91="","",COUNTIFS('Test Cases'!$C$2:$C$101,A91,'Test Cases'!$D$2:$D$101,"Pass"))</f>
      </c>
      <c r="I91" s="6">
        <f>IF(A91="","",COUNTIFS('Test Cases'!$C$2:$C$101,A91,'Test Cases'!$D$2:$D$101,"Fail"))</f>
      </c>
      <c r="J91" s="6">
        <f>IF(A91="","",IF(G91=0,"No tests",IF(I91&gt;0,"Failing",IF(H91&lt;G91,"Not run yet","Passing"))))</f>
      </c>
    </row>
    <row r="92">
      <c r="A92" s="5"/>
      <c r="B92" s="5"/>
      <c r="C92" s="5"/>
      <c r="D92" s="5"/>
      <c r="E92" s="5"/>
      <c r="F92" s="5"/>
      <c r="G92" s="6">
        <f>IF(A92="","",COUNTIF('Test Cases'!$C$2:$C$101,A92))</f>
      </c>
      <c r="H92" s="6">
        <f>IF(A92="","",COUNTIFS('Test Cases'!$C$2:$C$101,A92,'Test Cases'!$D$2:$D$101,"Pass"))</f>
      </c>
      <c r="I92" s="6">
        <f>IF(A92="","",COUNTIFS('Test Cases'!$C$2:$C$101,A92,'Test Cases'!$D$2:$D$101,"Fail"))</f>
      </c>
      <c r="J92" s="6">
        <f>IF(A92="","",IF(G92=0,"No tests",IF(I92&gt;0,"Failing",IF(H92&lt;G92,"Not run yet","Passing"))))</f>
      </c>
    </row>
    <row r="93">
      <c r="A93" s="5"/>
      <c r="B93" s="5"/>
      <c r="C93" s="5"/>
      <c r="D93" s="5"/>
      <c r="E93" s="5"/>
      <c r="F93" s="5"/>
      <c r="G93" s="6">
        <f>IF(A93="","",COUNTIF('Test Cases'!$C$2:$C$101,A93))</f>
      </c>
      <c r="H93" s="6">
        <f>IF(A93="","",COUNTIFS('Test Cases'!$C$2:$C$101,A93,'Test Cases'!$D$2:$D$101,"Pass"))</f>
      </c>
      <c r="I93" s="6">
        <f>IF(A93="","",COUNTIFS('Test Cases'!$C$2:$C$101,A93,'Test Cases'!$D$2:$D$101,"Fail"))</f>
      </c>
      <c r="J93" s="6">
        <f>IF(A93="","",IF(G93=0,"No tests",IF(I93&gt;0,"Failing",IF(H93&lt;G93,"Not run yet","Passing"))))</f>
      </c>
    </row>
    <row r="94">
      <c r="A94" s="5"/>
      <c r="B94" s="5"/>
      <c r="C94" s="5"/>
      <c r="D94" s="5"/>
      <c r="E94" s="5"/>
      <c r="F94" s="5"/>
      <c r="G94" s="6">
        <f>IF(A94="","",COUNTIF('Test Cases'!$C$2:$C$101,A94))</f>
      </c>
      <c r="H94" s="6">
        <f>IF(A94="","",COUNTIFS('Test Cases'!$C$2:$C$101,A94,'Test Cases'!$D$2:$D$101,"Pass"))</f>
      </c>
      <c r="I94" s="6">
        <f>IF(A94="","",COUNTIFS('Test Cases'!$C$2:$C$101,A94,'Test Cases'!$D$2:$D$101,"Fail"))</f>
      </c>
      <c r="J94" s="6">
        <f>IF(A94="","",IF(G94=0,"No tests",IF(I94&gt;0,"Failing",IF(H94&lt;G94,"Not run yet","Passing"))))</f>
      </c>
    </row>
    <row r="95">
      <c r="A95" s="5"/>
      <c r="B95" s="5"/>
      <c r="C95" s="5"/>
      <c r="D95" s="5"/>
      <c r="E95" s="5"/>
      <c r="F95" s="5"/>
      <c r="G95" s="6">
        <f>IF(A95="","",COUNTIF('Test Cases'!$C$2:$C$101,A95))</f>
      </c>
      <c r="H95" s="6">
        <f>IF(A95="","",COUNTIFS('Test Cases'!$C$2:$C$101,A95,'Test Cases'!$D$2:$D$101,"Pass"))</f>
      </c>
      <c r="I95" s="6">
        <f>IF(A95="","",COUNTIFS('Test Cases'!$C$2:$C$101,A95,'Test Cases'!$D$2:$D$101,"Fail"))</f>
      </c>
      <c r="J95" s="6">
        <f>IF(A95="","",IF(G95=0,"No tests",IF(I95&gt;0,"Failing",IF(H95&lt;G95,"Not run yet","Passing"))))</f>
      </c>
    </row>
    <row r="96">
      <c r="A96" s="5"/>
      <c r="B96" s="5"/>
      <c r="C96" s="5"/>
      <c r="D96" s="5"/>
      <c r="E96" s="5"/>
      <c r="F96" s="5"/>
      <c r="G96" s="6">
        <f>IF(A96="","",COUNTIF('Test Cases'!$C$2:$C$101,A96))</f>
      </c>
      <c r="H96" s="6">
        <f>IF(A96="","",COUNTIFS('Test Cases'!$C$2:$C$101,A96,'Test Cases'!$D$2:$D$101,"Pass"))</f>
      </c>
      <c r="I96" s="6">
        <f>IF(A96="","",COUNTIFS('Test Cases'!$C$2:$C$101,A96,'Test Cases'!$D$2:$D$101,"Fail"))</f>
      </c>
      <c r="J96" s="6">
        <f>IF(A96="","",IF(G96=0,"No tests",IF(I96&gt;0,"Failing",IF(H96&lt;G96,"Not run yet","Passing"))))</f>
      </c>
    </row>
    <row r="97">
      <c r="A97" s="5"/>
      <c r="B97" s="5"/>
      <c r="C97" s="5"/>
      <c r="D97" s="5"/>
      <c r="E97" s="5"/>
      <c r="F97" s="5"/>
      <c r="G97" s="6">
        <f>IF(A97="","",COUNTIF('Test Cases'!$C$2:$C$101,A97))</f>
      </c>
      <c r="H97" s="6">
        <f>IF(A97="","",COUNTIFS('Test Cases'!$C$2:$C$101,A97,'Test Cases'!$D$2:$D$101,"Pass"))</f>
      </c>
      <c r="I97" s="6">
        <f>IF(A97="","",COUNTIFS('Test Cases'!$C$2:$C$101,A97,'Test Cases'!$D$2:$D$101,"Fail"))</f>
      </c>
      <c r="J97" s="6">
        <f>IF(A97="","",IF(G97=0,"No tests",IF(I97&gt;0,"Failing",IF(H97&lt;G97,"Not run yet","Passing"))))</f>
      </c>
    </row>
    <row r="98">
      <c r="A98" s="5"/>
      <c r="B98" s="5"/>
      <c r="C98" s="5"/>
      <c r="D98" s="5"/>
      <c r="E98" s="5"/>
      <c r="F98" s="5"/>
      <c r="G98" s="6">
        <f>IF(A98="","",COUNTIF('Test Cases'!$C$2:$C$101,A98))</f>
      </c>
      <c r="H98" s="6">
        <f>IF(A98="","",COUNTIFS('Test Cases'!$C$2:$C$101,A98,'Test Cases'!$D$2:$D$101,"Pass"))</f>
      </c>
      <c r="I98" s="6">
        <f>IF(A98="","",COUNTIFS('Test Cases'!$C$2:$C$101,A98,'Test Cases'!$D$2:$D$101,"Fail"))</f>
      </c>
      <c r="J98" s="6">
        <f>IF(A98="","",IF(G98=0,"No tests",IF(I98&gt;0,"Failing",IF(H98&lt;G98,"Not run yet","Passing"))))</f>
      </c>
    </row>
    <row r="99">
      <c r="A99" s="5"/>
      <c r="B99" s="5"/>
      <c r="C99" s="5"/>
      <c r="D99" s="5"/>
      <c r="E99" s="5"/>
      <c r="F99" s="5"/>
      <c r="G99" s="6">
        <f>IF(A99="","",COUNTIF('Test Cases'!$C$2:$C$101,A99))</f>
      </c>
      <c r="H99" s="6">
        <f>IF(A99="","",COUNTIFS('Test Cases'!$C$2:$C$101,A99,'Test Cases'!$D$2:$D$101,"Pass"))</f>
      </c>
      <c r="I99" s="6">
        <f>IF(A99="","",COUNTIFS('Test Cases'!$C$2:$C$101,A99,'Test Cases'!$D$2:$D$101,"Fail"))</f>
      </c>
      <c r="J99" s="6">
        <f>IF(A99="","",IF(G99=0,"No tests",IF(I99&gt;0,"Failing",IF(H99&lt;G99,"Not run yet","Passing"))))</f>
      </c>
    </row>
    <row r="100">
      <c r="A100" s="5"/>
      <c r="B100" s="5"/>
      <c r="C100" s="5"/>
      <c r="D100" s="5"/>
      <c r="E100" s="5"/>
      <c r="F100" s="5"/>
      <c r="G100" s="6">
        <f>IF(A100="","",COUNTIF('Test Cases'!$C$2:$C$101,A100))</f>
      </c>
      <c r="H100" s="6">
        <f>IF(A100="","",COUNTIFS('Test Cases'!$C$2:$C$101,A100,'Test Cases'!$D$2:$D$101,"Pass"))</f>
      </c>
      <c r="I100" s="6">
        <f>IF(A100="","",COUNTIFS('Test Cases'!$C$2:$C$101,A100,'Test Cases'!$D$2:$D$101,"Fail"))</f>
      </c>
      <c r="J100" s="6">
        <f>IF(A100="","",IF(G100=0,"No tests",IF(I100&gt;0,"Failing",IF(H100&lt;G100,"Not run yet","Passing"))))</f>
      </c>
    </row>
    <row r="101">
      <c r="A101" s="5"/>
      <c r="B101" s="5"/>
      <c r="C101" s="5"/>
      <c r="D101" s="5"/>
      <c r="E101" s="5"/>
      <c r="F101" s="5"/>
      <c r="G101" s="6">
        <f>IF(A101="","",COUNTIF('Test Cases'!$C$2:$C$101,A101))</f>
      </c>
      <c r="H101" s="6">
        <f>IF(A101="","",COUNTIFS('Test Cases'!$C$2:$C$101,A101,'Test Cases'!$D$2:$D$101,"Pass"))</f>
      </c>
      <c r="I101" s="6">
        <f>IF(A101="","",COUNTIFS('Test Cases'!$C$2:$C$101,A101,'Test Cases'!$D$2:$D$101,"Fail"))</f>
      </c>
      <c r="J101" s="6">
        <f>IF(A101="","",IF(G101=0,"No tests",IF(I101&gt;0,"Failing",IF(H101&lt;G101,"Not run yet","Passing"))))</f>
      </c>
    </row>
  </sheetData>
  <conditionalFormatting sqref="J2:J101">
    <cfRule type="expression" priority="1" dxfId="0">
      <formula>$J2="Failing"</formula>
    </cfRule>
    <cfRule type="expression" priority="2" dxfId="1">
      <formula>$J2="Not run yet"</formula>
    </cfRule>
    <cfRule type="expression" priority="3" dxfId="2">
      <formula>$J2="No tests"</formula>
    </cfRule>
    <cfRule type="expression" priority="4" dxfId="3">
      <formula>$J2="Passing"</formula>
    </cfRule>
  </conditionalFormatting>
  <dataValidations count="2">
    <dataValidation type="list" allowBlank="1" sqref="F2:F101">
      <formula1>Lists!$B$2:$B$5</formula1>
    </dataValidation>
    <dataValidation type="list" allowBlank="1" sqref="C2:D101">
      <formula1>'Business Reqs'!$A$2:$A$101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9" customWidth="1"/>
    <col min="2" max="2" width="48" customWidth="1"/>
    <col min="3" max="3" width="11" customWidth="1"/>
    <col min="4" max="4" width="11" customWidth="1"/>
    <col min="5" max="5" width="12" customWidth="1"/>
    <col min="6" max="6" width="36" customWidth="1"/>
  </cols>
  <sheetData>
    <row r="1" ht="32" customHeight="1">
      <c r="A1" s="4" t="inlineStr">
        <is>
          <t>TC ID</t>
        </is>
      </c>
      <c r="B1" s="4" t="inlineStr">
        <is>
          <t>Test case</t>
        </is>
      </c>
      <c r="C1" s="4" t="inlineStr">
        <is>
          <t>Proves FR</t>
        </is>
      </c>
      <c r="D1" s="4" t="inlineStr">
        <is>
          <t>Result</t>
        </is>
      </c>
      <c r="E1" s="4" t="inlineStr">
        <is>
          <t>Last run</t>
        </is>
      </c>
      <c r="F1" s="4" t="inlineStr">
        <is>
          <t>Notes</t>
        </is>
      </c>
    </row>
    <row r="2">
      <c r="A2" s="5" t="inlineStr">
        <is>
          <t>TC-1</t>
        </is>
      </c>
      <c r="B2" s="5" t="inlineStr">
        <is>
          <t>Start a refund on an eligible order</t>
        </is>
      </c>
      <c r="C2" s="5" t="inlineStr">
        <is>
          <t>FR-1</t>
        </is>
      </c>
      <c r="D2" s="5" t="inlineStr">
        <is>
          <t>Pass</t>
        </is>
      </c>
      <c r="E2" s="7">
        <v>46315</v>
      </c>
      <c r="F2" s="5"/>
    </row>
    <row r="3">
      <c r="A3" s="5" t="inlineStr">
        <is>
          <t>TC-2</t>
        </is>
      </c>
      <c r="B3" s="5" t="inlineStr">
        <is>
          <t>Refund option hidden on orders older than 30 days</t>
        </is>
      </c>
      <c r="C3" s="5" t="inlineStr">
        <is>
          <t>FR-1</t>
        </is>
      </c>
      <c r="D3" s="5" t="inlineStr">
        <is>
          <t>Pass</t>
        </is>
      </c>
      <c r="E3" s="7">
        <v>46315</v>
      </c>
      <c r="F3" s="5"/>
    </row>
    <row r="4">
      <c r="A4" s="5" t="inlineStr">
        <is>
          <t>TC-3</t>
        </is>
      </c>
      <c r="B4" s="5" t="inlineStr">
        <is>
          <t>Auto-approve a 42 dollar refund</t>
        </is>
      </c>
      <c r="C4" s="5" t="inlineStr">
        <is>
          <t>FR-2</t>
        </is>
      </c>
      <c r="D4" s="5" t="inlineStr">
        <is>
          <t>Not run</t>
        </is>
      </c>
      <c r="E4" s="7"/>
      <c r="F4" s="5" t="inlineStr">
        <is>
          <t>Waiting on finance threshold sign-off</t>
        </is>
      </c>
    </row>
    <row r="5">
      <c r="A5" s="5" t="inlineStr">
        <is>
          <t>TC-4</t>
        </is>
      </c>
      <c r="B5" s="5" t="inlineStr">
        <is>
          <t>Gateway accepts payout for an approved refund</t>
        </is>
      </c>
      <c r="C5" s="5" t="inlineStr">
        <is>
          <t>FR-3</t>
        </is>
      </c>
      <c r="D5" s="5" t="inlineStr">
        <is>
          <t>Fail</t>
        </is>
      </c>
      <c r="E5" s="7">
        <v>46317</v>
      </c>
      <c r="F5" s="5" t="inlineStr">
        <is>
          <t>Sandbox returns 429 under load</t>
        </is>
      </c>
    </row>
    <row r="6">
      <c r="A6" s="5"/>
      <c r="B6" s="5"/>
      <c r="C6" s="5"/>
      <c r="D6" s="5"/>
      <c r="E6" s="7"/>
      <c r="F6" s="5"/>
    </row>
    <row r="7">
      <c r="A7" s="5"/>
      <c r="B7" s="5"/>
      <c r="C7" s="5"/>
      <c r="D7" s="5"/>
      <c r="E7" s="7"/>
      <c r="F7" s="5"/>
    </row>
    <row r="8">
      <c r="A8" s="5"/>
      <c r="B8" s="5"/>
      <c r="C8" s="5"/>
      <c r="D8" s="5"/>
      <c r="E8" s="7"/>
      <c r="F8" s="5"/>
    </row>
    <row r="9">
      <c r="A9" s="5"/>
      <c r="B9" s="5"/>
      <c r="C9" s="5"/>
      <c r="D9" s="5"/>
      <c r="E9" s="7"/>
      <c r="F9" s="5"/>
    </row>
    <row r="10">
      <c r="A10" s="5"/>
      <c r="B10" s="5"/>
      <c r="C10" s="5"/>
      <c r="D10" s="5"/>
      <c r="E10" s="7"/>
      <c r="F10" s="5"/>
    </row>
    <row r="11">
      <c r="A11" s="5"/>
      <c r="B11" s="5"/>
      <c r="C11" s="5"/>
      <c r="D11" s="5"/>
      <c r="E11" s="7"/>
      <c r="F11" s="5"/>
    </row>
    <row r="12">
      <c r="A12" s="5"/>
      <c r="B12" s="5"/>
      <c r="C12" s="5"/>
      <c r="D12" s="5"/>
      <c r="E12" s="7"/>
      <c r="F12" s="5"/>
    </row>
    <row r="13">
      <c r="A13" s="5"/>
      <c r="B13" s="5"/>
      <c r="C13" s="5"/>
      <c r="D13" s="5"/>
      <c r="E13" s="7"/>
      <c r="F13" s="5"/>
    </row>
    <row r="14">
      <c r="A14" s="5"/>
      <c r="B14" s="5"/>
      <c r="C14" s="5"/>
      <c r="D14" s="5"/>
      <c r="E14" s="7"/>
      <c r="F14" s="5"/>
    </row>
    <row r="15">
      <c r="A15" s="5"/>
      <c r="B15" s="5"/>
      <c r="C15" s="5"/>
      <c r="D15" s="5"/>
      <c r="E15" s="7"/>
      <c r="F15" s="5"/>
    </row>
    <row r="16">
      <c r="A16" s="5"/>
      <c r="B16" s="5"/>
      <c r="C16" s="5"/>
      <c r="D16" s="5"/>
      <c r="E16" s="7"/>
      <c r="F16" s="5"/>
    </row>
    <row r="17">
      <c r="A17" s="5"/>
      <c r="B17" s="5"/>
      <c r="C17" s="5"/>
      <c r="D17" s="5"/>
      <c r="E17" s="7"/>
      <c r="F17" s="5"/>
    </row>
    <row r="18">
      <c r="A18" s="5"/>
      <c r="B18" s="5"/>
      <c r="C18" s="5"/>
      <c r="D18" s="5"/>
      <c r="E18" s="7"/>
      <c r="F18" s="5"/>
    </row>
    <row r="19">
      <c r="A19" s="5"/>
      <c r="B19" s="5"/>
      <c r="C19" s="5"/>
      <c r="D19" s="5"/>
      <c r="E19" s="7"/>
      <c r="F19" s="5"/>
    </row>
    <row r="20">
      <c r="A20" s="5"/>
      <c r="B20" s="5"/>
      <c r="C20" s="5"/>
      <c r="D20" s="5"/>
      <c r="E20" s="7"/>
      <c r="F20" s="5"/>
    </row>
    <row r="21">
      <c r="A21" s="5"/>
      <c r="B21" s="5"/>
      <c r="C21" s="5"/>
      <c r="D21" s="5"/>
      <c r="E21" s="7"/>
      <c r="F21" s="5"/>
    </row>
    <row r="22">
      <c r="A22" s="5"/>
      <c r="B22" s="5"/>
      <c r="C22" s="5"/>
      <c r="D22" s="5"/>
      <c r="E22" s="7"/>
      <c r="F22" s="5"/>
    </row>
    <row r="23">
      <c r="A23" s="5"/>
      <c r="B23" s="5"/>
      <c r="C23" s="5"/>
      <c r="D23" s="5"/>
      <c r="E23" s="7"/>
      <c r="F23" s="5"/>
    </row>
    <row r="24">
      <c r="A24" s="5"/>
      <c r="B24" s="5"/>
      <c r="C24" s="5"/>
      <c r="D24" s="5"/>
      <c r="E24" s="7"/>
      <c r="F24" s="5"/>
    </row>
    <row r="25">
      <c r="A25" s="5"/>
      <c r="B25" s="5"/>
      <c r="C25" s="5"/>
      <c r="D25" s="5"/>
      <c r="E25" s="7"/>
      <c r="F25" s="5"/>
    </row>
    <row r="26">
      <c r="A26" s="5"/>
      <c r="B26" s="5"/>
      <c r="C26" s="5"/>
      <c r="D26" s="5"/>
      <c r="E26" s="7"/>
      <c r="F26" s="5"/>
    </row>
    <row r="27">
      <c r="A27" s="5"/>
      <c r="B27" s="5"/>
      <c r="C27" s="5"/>
      <c r="D27" s="5"/>
      <c r="E27" s="7"/>
      <c r="F27" s="5"/>
    </row>
    <row r="28">
      <c r="A28" s="5"/>
      <c r="B28" s="5"/>
      <c r="C28" s="5"/>
      <c r="D28" s="5"/>
      <c r="E28" s="7"/>
      <c r="F28" s="5"/>
    </row>
    <row r="29">
      <c r="A29" s="5"/>
      <c r="B29" s="5"/>
      <c r="C29" s="5"/>
      <c r="D29" s="5"/>
      <c r="E29" s="7"/>
      <c r="F29" s="5"/>
    </row>
    <row r="30">
      <c r="A30" s="5"/>
      <c r="B30" s="5"/>
      <c r="C30" s="5"/>
      <c r="D30" s="5"/>
      <c r="E30" s="7"/>
      <c r="F30" s="5"/>
    </row>
    <row r="31">
      <c r="A31" s="5"/>
      <c r="B31" s="5"/>
      <c r="C31" s="5"/>
      <c r="D31" s="5"/>
      <c r="E31" s="7"/>
      <c r="F31" s="5"/>
    </row>
    <row r="32">
      <c r="A32" s="5"/>
      <c r="B32" s="5"/>
      <c r="C32" s="5"/>
      <c r="D32" s="5"/>
      <c r="E32" s="7"/>
      <c r="F32" s="5"/>
    </row>
    <row r="33">
      <c r="A33" s="5"/>
      <c r="B33" s="5"/>
      <c r="C33" s="5"/>
      <c r="D33" s="5"/>
      <c r="E33" s="7"/>
      <c r="F33" s="5"/>
    </row>
    <row r="34">
      <c r="A34" s="5"/>
      <c r="B34" s="5"/>
      <c r="C34" s="5"/>
      <c r="D34" s="5"/>
      <c r="E34" s="7"/>
      <c r="F34" s="5"/>
    </row>
    <row r="35">
      <c r="A35" s="5"/>
      <c r="B35" s="5"/>
      <c r="C35" s="5"/>
      <c r="D35" s="5"/>
      <c r="E35" s="7"/>
      <c r="F35" s="5"/>
    </row>
    <row r="36">
      <c r="A36" s="5"/>
      <c r="B36" s="5"/>
      <c r="C36" s="5"/>
      <c r="D36" s="5"/>
      <c r="E36" s="7"/>
      <c r="F36" s="5"/>
    </row>
    <row r="37">
      <c r="A37" s="5"/>
      <c r="B37" s="5"/>
      <c r="C37" s="5"/>
      <c r="D37" s="5"/>
      <c r="E37" s="7"/>
      <c r="F37" s="5"/>
    </row>
    <row r="38">
      <c r="A38" s="5"/>
      <c r="B38" s="5"/>
      <c r="C38" s="5"/>
      <c r="D38" s="5"/>
      <c r="E38" s="7"/>
      <c r="F38" s="5"/>
    </row>
    <row r="39">
      <c r="A39" s="5"/>
      <c r="B39" s="5"/>
      <c r="C39" s="5"/>
      <c r="D39" s="5"/>
      <c r="E39" s="7"/>
      <c r="F39" s="5"/>
    </row>
    <row r="40">
      <c r="A40" s="5"/>
      <c r="B40" s="5"/>
      <c r="C40" s="5"/>
      <c r="D40" s="5"/>
      <c r="E40" s="7"/>
      <c r="F40" s="5"/>
    </row>
    <row r="41">
      <c r="A41" s="5"/>
      <c r="B41" s="5"/>
      <c r="C41" s="5"/>
      <c r="D41" s="5"/>
      <c r="E41" s="7"/>
      <c r="F41" s="5"/>
    </row>
    <row r="42">
      <c r="A42" s="5"/>
      <c r="B42" s="5"/>
      <c r="C42" s="5"/>
      <c r="D42" s="5"/>
      <c r="E42" s="7"/>
      <c r="F42" s="5"/>
    </row>
    <row r="43">
      <c r="A43" s="5"/>
      <c r="B43" s="5"/>
      <c r="C43" s="5"/>
      <c r="D43" s="5"/>
      <c r="E43" s="7"/>
      <c r="F43" s="5"/>
    </row>
    <row r="44">
      <c r="A44" s="5"/>
      <c r="B44" s="5"/>
      <c r="C44" s="5"/>
      <c r="D44" s="5"/>
      <c r="E44" s="7"/>
      <c r="F44" s="5"/>
    </row>
    <row r="45">
      <c r="A45" s="5"/>
      <c r="B45" s="5"/>
      <c r="C45" s="5"/>
      <c r="D45" s="5"/>
      <c r="E45" s="7"/>
      <c r="F45" s="5"/>
    </row>
    <row r="46">
      <c r="A46" s="5"/>
      <c r="B46" s="5"/>
      <c r="C46" s="5"/>
      <c r="D46" s="5"/>
      <c r="E46" s="7"/>
      <c r="F46" s="5"/>
    </row>
    <row r="47">
      <c r="A47" s="5"/>
      <c r="B47" s="5"/>
      <c r="C47" s="5"/>
      <c r="D47" s="5"/>
      <c r="E47" s="7"/>
      <c r="F47" s="5"/>
    </row>
    <row r="48">
      <c r="A48" s="5"/>
      <c r="B48" s="5"/>
      <c r="C48" s="5"/>
      <c r="D48" s="5"/>
      <c r="E48" s="7"/>
      <c r="F48" s="5"/>
    </row>
    <row r="49">
      <c r="A49" s="5"/>
      <c r="B49" s="5"/>
      <c r="C49" s="5"/>
      <c r="D49" s="5"/>
      <c r="E49" s="7"/>
      <c r="F49" s="5"/>
    </row>
    <row r="50">
      <c r="A50" s="5"/>
      <c r="B50" s="5"/>
      <c r="C50" s="5"/>
      <c r="D50" s="5"/>
      <c r="E50" s="7"/>
      <c r="F50" s="5"/>
    </row>
    <row r="51">
      <c r="A51" s="5"/>
      <c r="B51" s="5"/>
      <c r="C51" s="5"/>
      <c r="D51" s="5"/>
      <c r="E51" s="7"/>
      <c r="F51" s="5"/>
    </row>
    <row r="52">
      <c r="A52" s="5"/>
      <c r="B52" s="5"/>
      <c r="C52" s="5"/>
      <c r="D52" s="5"/>
      <c r="E52" s="7"/>
      <c r="F52" s="5"/>
    </row>
    <row r="53">
      <c r="A53" s="5"/>
      <c r="B53" s="5"/>
      <c r="C53" s="5"/>
      <c r="D53" s="5"/>
      <c r="E53" s="7"/>
      <c r="F53" s="5"/>
    </row>
    <row r="54">
      <c r="A54" s="5"/>
      <c r="B54" s="5"/>
      <c r="C54" s="5"/>
      <c r="D54" s="5"/>
      <c r="E54" s="7"/>
      <c r="F54" s="5"/>
    </row>
    <row r="55">
      <c r="A55" s="5"/>
      <c r="B55" s="5"/>
      <c r="C55" s="5"/>
      <c r="D55" s="5"/>
      <c r="E55" s="7"/>
      <c r="F55" s="5"/>
    </row>
    <row r="56">
      <c r="A56" s="5"/>
      <c r="B56" s="5"/>
      <c r="C56" s="5"/>
      <c r="D56" s="5"/>
      <c r="E56" s="7"/>
      <c r="F56" s="5"/>
    </row>
    <row r="57">
      <c r="A57" s="5"/>
      <c r="B57" s="5"/>
      <c r="C57" s="5"/>
      <c r="D57" s="5"/>
      <c r="E57" s="7"/>
      <c r="F57" s="5"/>
    </row>
    <row r="58">
      <c r="A58" s="5"/>
      <c r="B58" s="5"/>
      <c r="C58" s="5"/>
      <c r="D58" s="5"/>
      <c r="E58" s="7"/>
      <c r="F58" s="5"/>
    </row>
    <row r="59">
      <c r="A59" s="5"/>
      <c r="B59" s="5"/>
      <c r="C59" s="5"/>
      <c r="D59" s="5"/>
      <c r="E59" s="7"/>
      <c r="F59" s="5"/>
    </row>
    <row r="60">
      <c r="A60" s="5"/>
      <c r="B60" s="5"/>
      <c r="C60" s="5"/>
      <c r="D60" s="5"/>
      <c r="E60" s="7"/>
      <c r="F60" s="5"/>
    </row>
    <row r="61">
      <c r="A61" s="5"/>
      <c r="B61" s="5"/>
      <c r="C61" s="5"/>
      <c r="D61" s="5"/>
      <c r="E61" s="7"/>
      <c r="F61" s="5"/>
    </row>
    <row r="62">
      <c r="A62" s="5"/>
      <c r="B62" s="5"/>
      <c r="C62" s="5"/>
      <c r="D62" s="5"/>
      <c r="E62" s="7"/>
      <c r="F62" s="5"/>
    </row>
    <row r="63">
      <c r="A63" s="5"/>
      <c r="B63" s="5"/>
      <c r="C63" s="5"/>
      <c r="D63" s="5"/>
      <c r="E63" s="7"/>
      <c r="F63" s="5"/>
    </row>
    <row r="64">
      <c r="A64" s="5"/>
      <c r="B64" s="5"/>
      <c r="C64" s="5"/>
      <c r="D64" s="5"/>
      <c r="E64" s="7"/>
      <c r="F64" s="5"/>
    </row>
    <row r="65">
      <c r="A65" s="5"/>
      <c r="B65" s="5"/>
      <c r="C65" s="5"/>
      <c r="D65" s="5"/>
      <c r="E65" s="7"/>
      <c r="F65" s="5"/>
    </row>
    <row r="66">
      <c r="A66" s="5"/>
      <c r="B66" s="5"/>
      <c r="C66" s="5"/>
      <c r="D66" s="5"/>
      <c r="E66" s="7"/>
      <c r="F66" s="5"/>
    </row>
    <row r="67">
      <c r="A67" s="5"/>
      <c r="B67" s="5"/>
      <c r="C67" s="5"/>
      <c r="D67" s="5"/>
      <c r="E67" s="7"/>
      <c r="F67" s="5"/>
    </row>
    <row r="68">
      <c r="A68" s="5"/>
      <c r="B68" s="5"/>
      <c r="C68" s="5"/>
      <c r="D68" s="5"/>
      <c r="E68" s="7"/>
      <c r="F68" s="5"/>
    </row>
    <row r="69">
      <c r="A69" s="5"/>
      <c r="B69" s="5"/>
      <c r="C69" s="5"/>
      <c r="D69" s="5"/>
      <c r="E69" s="7"/>
      <c r="F69" s="5"/>
    </row>
    <row r="70">
      <c r="A70" s="5"/>
      <c r="B70" s="5"/>
      <c r="C70" s="5"/>
      <c r="D70" s="5"/>
      <c r="E70" s="7"/>
      <c r="F70" s="5"/>
    </row>
    <row r="71">
      <c r="A71" s="5"/>
      <c r="B71" s="5"/>
      <c r="C71" s="5"/>
      <c r="D71" s="5"/>
      <c r="E71" s="7"/>
      <c r="F71" s="5"/>
    </row>
    <row r="72">
      <c r="A72" s="5"/>
      <c r="B72" s="5"/>
      <c r="C72" s="5"/>
      <c r="D72" s="5"/>
      <c r="E72" s="7"/>
      <c r="F72" s="5"/>
    </row>
    <row r="73">
      <c r="A73" s="5"/>
      <c r="B73" s="5"/>
      <c r="C73" s="5"/>
      <c r="D73" s="5"/>
      <c r="E73" s="7"/>
      <c r="F73" s="5"/>
    </row>
    <row r="74">
      <c r="A74" s="5"/>
      <c r="B74" s="5"/>
      <c r="C74" s="5"/>
      <c r="D74" s="5"/>
      <c r="E74" s="7"/>
      <c r="F74" s="5"/>
    </row>
    <row r="75">
      <c r="A75" s="5"/>
      <c r="B75" s="5"/>
      <c r="C75" s="5"/>
      <c r="D75" s="5"/>
      <c r="E75" s="7"/>
      <c r="F75" s="5"/>
    </row>
    <row r="76">
      <c r="A76" s="5"/>
      <c r="B76" s="5"/>
      <c r="C76" s="5"/>
      <c r="D76" s="5"/>
      <c r="E76" s="7"/>
      <c r="F76" s="5"/>
    </row>
    <row r="77">
      <c r="A77" s="5"/>
      <c r="B77" s="5"/>
      <c r="C77" s="5"/>
      <c r="D77" s="5"/>
      <c r="E77" s="7"/>
      <c r="F77" s="5"/>
    </row>
    <row r="78">
      <c r="A78" s="5"/>
      <c r="B78" s="5"/>
      <c r="C78" s="5"/>
      <c r="D78" s="5"/>
      <c r="E78" s="7"/>
      <c r="F78" s="5"/>
    </row>
    <row r="79">
      <c r="A79" s="5"/>
      <c r="B79" s="5"/>
      <c r="C79" s="5"/>
      <c r="D79" s="5"/>
      <c r="E79" s="7"/>
      <c r="F79" s="5"/>
    </row>
    <row r="80">
      <c r="A80" s="5"/>
      <c r="B80" s="5"/>
      <c r="C80" s="5"/>
      <c r="D80" s="5"/>
      <c r="E80" s="7"/>
      <c r="F80" s="5"/>
    </row>
    <row r="81">
      <c r="A81" s="5"/>
      <c r="B81" s="5"/>
      <c r="C81" s="5"/>
      <c r="D81" s="5"/>
      <c r="E81" s="7"/>
      <c r="F81" s="5"/>
    </row>
    <row r="82">
      <c r="A82" s="5"/>
      <c r="B82" s="5"/>
      <c r="C82" s="5"/>
      <c r="D82" s="5"/>
      <c r="E82" s="7"/>
      <c r="F82" s="5"/>
    </row>
    <row r="83">
      <c r="A83" s="5"/>
      <c r="B83" s="5"/>
      <c r="C83" s="5"/>
      <c r="D83" s="5"/>
      <c r="E83" s="7"/>
      <c r="F83" s="5"/>
    </row>
    <row r="84">
      <c r="A84" s="5"/>
      <c r="B84" s="5"/>
      <c r="C84" s="5"/>
      <c r="D84" s="5"/>
      <c r="E84" s="7"/>
      <c r="F84" s="5"/>
    </row>
    <row r="85">
      <c r="A85" s="5"/>
      <c r="B85" s="5"/>
      <c r="C85" s="5"/>
      <c r="D85" s="5"/>
      <c r="E85" s="7"/>
      <c r="F85" s="5"/>
    </row>
    <row r="86">
      <c r="A86" s="5"/>
      <c r="B86" s="5"/>
      <c r="C86" s="5"/>
      <c r="D86" s="5"/>
      <c r="E86" s="7"/>
      <c r="F86" s="5"/>
    </row>
    <row r="87">
      <c r="A87" s="5"/>
      <c r="B87" s="5"/>
      <c r="C87" s="5"/>
      <c r="D87" s="5"/>
      <c r="E87" s="7"/>
      <c r="F87" s="5"/>
    </row>
    <row r="88">
      <c r="A88" s="5"/>
      <c r="B88" s="5"/>
      <c r="C88" s="5"/>
      <c r="D88" s="5"/>
      <c r="E88" s="7"/>
      <c r="F88" s="5"/>
    </row>
    <row r="89">
      <c r="A89" s="5"/>
      <c r="B89" s="5"/>
      <c r="C89" s="5"/>
      <c r="D89" s="5"/>
      <c r="E89" s="7"/>
      <c r="F89" s="5"/>
    </row>
    <row r="90">
      <c r="A90" s="5"/>
      <c r="B90" s="5"/>
      <c r="C90" s="5"/>
      <c r="D90" s="5"/>
      <c r="E90" s="7"/>
      <c r="F90" s="5"/>
    </row>
    <row r="91">
      <c r="A91" s="5"/>
      <c r="B91" s="5"/>
      <c r="C91" s="5"/>
      <c r="D91" s="5"/>
      <c r="E91" s="7"/>
      <c r="F91" s="5"/>
    </row>
    <row r="92">
      <c r="A92" s="5"/>
      <c r="B92" s="5"/>
      <c r="C92" s="5"/>
      <c r="D92" s="5"/>
      <c r="E92" s="7"/>
      <c r="F92" s="5"/>
    </row>
    <row r="93">
      <c r="A93" s="5"/>
      <c r="B93" s="5"/>
      <c r="C93" s="5"/>
      <c r="D93" s="5"/>
      <c r="E93" s="7"/>
      <c r="F93" s="5"/>
    </row>
    <row r="94">
      <c r="A94" s="5"/>
      <c r="B94" s="5"/>
      <c r="C94" s="5"/>
      <c r="D94" s="5"/>
      <c r="E94" s="7"/>
      <c r="F94" s="5"/>
    </row>
    <row r="95">
      <c r="A95" s="5"/>
      <c r="B95" s="5"/>
      <c r="C95" s="5"/>
      <c r="D95" s="5"/>
      <c r="E95" s="7"/>
      <c r="F95" s="5"/>
    </row>
    <row r="96">
      <c r="A96" s="5"/>
      <c r="B96" s="5"/>
      <c r="C96" s="5"/>
      <c r="D96" s="5"/>
      <c r="E96" s="7"/>
      <c r="F96" s="5"/>
    </row>
    <row r="97">
      <c r="A97" s="5"/>
      <c r="B97" s="5"/>
      <c r="C97" s="5"/>
      <c r="D97" s="5"/>
      <c r="E97" s="7"/>
      <c r="F97" s="5"/>
    </row>
    <row r="98">
      <c r="A98" s="5"/>
      <c r="B98" s="5"/>
      <c r="C98" s="5"/>
      <c r="D98" s="5"/>
      <c r="E98" s="7"/>
      <c r="F98" s="5"/>
    </row>
    <row r="99">
      <c r="A99" s="5"/>
      <c r="B99" s="5"/>
      <c r="C99" s="5"/>
      <c r="D99" s="5"/>
      <c r="E99" s="7"/>
      <c r="F99" s="5"/>
    </row>
    <row r="100">
      <c r="A100" s="5"/>
      <c r="B100" s="5"/>
      <c r="C100" s="5"/>
      <c r="D100" s="5"/>
      <c r="E100" s="7"/>
      <c r="F100" s="5"/>
    </row>
    <row r="101">
      <c r="A101" s="5"/>
      <c r="B101" s="5"/>
      <c r="C101" s="5"/>
      <c r="D101" s="5"/>
      <c r="E101" s="7"/>
      <c r="F101" s="5"/>
    </row>
  </sheetData>
  <conditionalFormatting sqref="D2:D101">
    <cfRule type="expression" priority="1" dxfId="0">
      <formula>$D2="Fail"</formula>
    </cfRule>
    <cfRule type="expression" priority="2" dxfId="1">
      <formula>$D2="Not run"</formula>
    </cfRule>
    <cfRule type="expression" priority="4" dxfId="3">
      <formula>$D2="Pass"</formula>
    </cfRule>
  </conditionalFormatting>
  <dataValidations count="2">
    <dataValidation type="list" allowBlank="1" sqref="D2:D101">
      <formula1>Lists!$C$2:$C$4</formula1>
    </dataValidation>
    <dataValidation type="list" allowBlank="1" sqref="C2:C101">
      <formula1>'Functional Reqs'!$A$2:$A$101</formula1>
    </dataValidation>
  </dataValidations>
</worksheet>
</file>

<file path=xl/worksheets/sheet5.xml><?xml version="1.0" encoding="utf-8"?>
<worksheet xmlns="http://schemas.openxmlformats.org/spreadsheetml/2006/main">
  <sheetData>
    <row r="1">
      <c r="A1" s="8" t="inlineStr">
        <is>
          <t>Priority</t>
        </is>
      </c>
      <c r="B1" s="8" t="inlineStr">
        <is>
          <t>Build status</t>
        </is>
      </c>
      <c r="C1" s="8" t="inlineStr">
        <is>
          <t>Result</t>
        </is>
      </c>
    </row>
    <row r="2">
      <c r="A2" s="2" t="inlineStr">
        <is>
          <t>Must</t>
        </is>
      </c>
      <c r="B2" s="2" t="inlineStr">
        <is>
          <t>Not started</t>
        </is>
      </c>
      <c r="C2" s="2" t="inlineStr">
        <is>
          <t>Not run</t>
        </is>
      </c>
    </row>
    <row r="3">
      <c r="A3" s="2" t="inlineStr">
        <is>
          <t>Should</t>
        </is>
      </c>
      <c r="B3" s="2" t="inlineStr">
        <is>
          <t>In progress</t>
        </is>
      </c>
      <c r="C3" s="2" t="inlineStr">
        <is>
          <t>Pass</t>
        </is>
      </c>
    </row>
    <row r="4">
      <c r="A4" s="2" t="inlineStr">
        <is>
          <t>Could</t>
        </is>
      </c>
      <c r="B4" s="2" t="inlineStr">
        <is>
          <t>Built</t>
        </is>
      </c>
      <c r="C4" s="2" t="inlineStr">
        <is>
          <t>Fail</t>
        </is>
      </c>
    </row>
    <row r="5">
      <c r="A5" s="2" t="inlineStr">
        <is>
          <t>Won't</t>
        </is>
      </c>
      <c r="B5" s="2" t="inlineStr">
        <is>
          <t>Released</t>
        </is>
      </c>
    </row>
  </sheetData>
</worksheet>
</file>